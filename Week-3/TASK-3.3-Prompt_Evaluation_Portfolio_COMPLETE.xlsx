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valuation Log" sheetId="2" state="visible" r:id="rId4"/>
    <sheet name="Task Inputs &amp; Answer Key" sheetId="3" state="visible" r:id="rId5"/>
    <sheet name="Scoring Rubric" sheetId="4" state="visible" r:id="rId6"/>
    <sheet name="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<sst xmlns="http://schemas.openxmlformats.org/spreadsheetml/2006/main" count="553" uniqueCount="296">
  <si>
    <t xml:space="preserve">3.3 Prompt Engineering Portfolio: Prompt Evaluation Sheet</t>
  </si>
  <si>
    <t xml:space="preserve">Progress (auto)</t>
  </si>
  <si>
    <t xml:space="preserve">What is in this workbook</t>
  </si>
  <si>
    <t xml:space="preserve">11 tasks across Reasoning, Extraction, Summarization and Coding. Each task has v1 (basic), v2 (structured) and v3 (advanced) prompts, the exact prompt text, Gemini's output from your three conversations, scores, and notes on what worked or failed.</t>
  </si>
  <si>
    <t xml:space="preserve">How scoring works</t>
  </si>
  <si>
    <t xml:space="preserve">Accuracy, Format and Completeness are each scored 1 to 5 against the Answer Key, and Score is their average. Format is judged against the task's target (for example JSON or a table), so a basic prompt that never asked for that format scores lower. That difference is what the portfolio measures. The scores are my assessment of your real outputs, so review them and adjust where you disagree.</t>
  </si>
  <si>
    <t xml:space="preserve">Still to do: S1</t>
  </si>
  <si>
    <t xml:space="preserve">S1 (news summary) has no valid result. In your v2 and v3 conversations no article was pasted, and v1 was not run. The S1 prompts here already contain a sample article, so just run all three in new chats and paste the outputs.</t>
  </si>
  <si>
    <t xml:space="preserve">Optional extras</t>
  </si>
  <si>
    <t xml:space="preserve">Consistency was only tested for E3 v1 (asked twice). If you have time, rerun any v3 prompt twice more and fill the Consistency column. Leave it blank where untested.</t>
  </si>
  <si>
    <t xml:space="preserve">Check before submitting</t>
  </si>
  <si>
    <t xml:space="preserve">1) Confirm the model for each run in the Gemini model picker (see the yellow note on the Summary tab). 2) Read the 'Run validity notes' on the Summary tab. 3) Keep the outputs exactly as received.</t>
  </si>
  <si>
    <t xml:space="preserve">Colour legend</t>
  </si>
  <si>
    <t xml:space="preserve">Dark blue = headers. Grey = prepared. Green = filled from your real runs. Cream = still to fill. Yellow = confirm. Score and the Summary tables are formulas.</t>
  </si>
  <si>
    <t xml:space="preserve">Task ID</t>
  </si>
  <si>
    <t xml:space="preserve">Category</t>
  </si>
  <si>
    <t xml:space="preserve">Task Description</t>
  </si>
  <si>
    <t xml:space="preserve">Prompt Version</t>
  </si>
  <si>
    <t xml:space="preserve">Status</t>
  </si>
  <si>
    <t xml:space="preserve">Model (self-reported)</t>
  </si>
  <si>
    <t xml:space="preserve">Technique Used</t>
  </si>
  <si>
    <t xml:space="preserve">Prompt Text</t>
  </si>
  <si>
    <t xml:space="preserve">Model Output</t>
  </si>
  <si>
    <t xml:space="preserve">Accuracy (1-5)</t>
  </si>
  <si>
    <t xml:space="preserve">Format (1-5)</t>
  </si>
  <si>
    <t xml:space="preserve">Completeness (1-5)</t>
  </si>
  <si>
    <t xml:space="preserve">Score (1-5)</t>
  </si>
  <si>
    <t xml:space="preserve">Consistency</t>
  </si>
  <si>
    <t xml:space="preserve">What Worked / Failed</t>
  </si>
  <si>
    <t xml:space="preserve">Next Change</t>
  </si>
  <si>
    <t xml:space="preserve">R1</t>
  </si>
  <si>
    <t xml:space="preserve">Reasoning</t>
  </si>
  <si>
    <t xml:space="preserve">multi-step word problem</t>
  </si>
  <si>
    <t xml:space="preserve">v1</t>
  </si>
  <si>
    <t xml:space="preserve">Run (v1 conversation)</t>
  </si>
  <si>
    <t xml:space="preserve">Gemini 3.5 Flash-Lite</t>
  </si>
  <si>
    <t xml:space="preserve">Basic (natural ask)</t>
  </si>
  <si>
    <t xml:space="preserve">A jacket costs ₹2,000 with a 15% discount, then 5% tax, split among 3 friends. How much does each pay?</t>
  </si>
  <si>
    <t xml:space="preserve">Here is the breakdown of the total cost and how much each friend pays:
- Original Price: ₹2,000
- After 15% Discount: ₹1,700 (₹2,000 - ₹300)
- After 5% Tax: ₹1,785 (₹1,700 + ₹85)
- Split among 3 friends: ₹595 each</t>
  </si>
  <si>
    <t xml:space="preserve">Correct answer (₹595) in a short, readable breakdown. No numbered calculations and no 'Final answer' line, because the prompt did not ask for them.</t>
  </si>
  <si>
    <t xml:space="preserve">Add numbered calculations and a fixed final line (v2).</t>
  </si>
  <si>
    <t xml:space="preserve">v2</t>
  </si>
  <si>
    <t xml:space="preserve">Run (v2 conversation)</t>
  </si>
  <si>
    <t xml:space="preserve">Gemini 3.8 Flash</t>
  </si>
  <si>
    <t xml:space="preserve">Step-by-step + fixed final line</t>
  </si>
  <si>
    <t xml:space="preserve">Can you work this out step by step? A jacket costs ₹2,000. It gets a 15% discount first, then 5% tax is added on the discounted price, and 3 friends split the final bill equally. Please show each calculation on its own line and finish with 'Final answer: ₹X per friend'.</t>
  </si>
  <si>
    <t xml:space="preserve">I am Gemini, a model trained by Google. [stray line at the top]
1. Discount amount: ₹2,000 × 0.15 = ₹300
2. Discounted price: ₹2,000 − ₹300 = ₹1,700
3. Tax amount (5% on discounted price): ₹1,700 × 0.05 = ₹85
4. Final bill: ₹1,700 + ₹85 = ₹1,785
5. Split per person: ₹1,785 ÷ 3 = ₹595
Final answer: ₹595 per friend</t>
  </si>
  <si>
    <t xml:space="preserve">Followed the format exactly: one calculation per line plus the required final line. Minor: a stray 'I am Gemini' line at the top, probably left over from a model-name question just before.</t>
  </si>
  <si>
    <t xml:space="preserve">Add a worked example and a back-check (v3).</t>
  </si>
  <si>
    <t xml:space="preserve">v3</t>
  </si>
  <si>
    <t xml:space="preserve">Run (v3 conversation)</t>
  </si>
  <si>
    <t xml:space="preserve">Gemini 3.1 Pro</t>
  </si>
  <si>
    <t xml:space="preserve">Rules + worked example + back-check</t>
  </si>
  <si>
    <t xml:space="preserve">I'm checking my maths homework and the order of operations is what usually trips me up. Please solve the problem below like a careful tutor.
Rules:
1. Apply the discount first, then the tax on the discounted price.
2. Don't round until the final answer.
3. Put each calculation on its own numbered line.
4. Afterwards, check your answer by working backwards and write 'Check:' followed by the result.
5. End with 'Final answer: ₹X per friend'.
Example of the style I want:
Problem: A bag costs ₹1,000 with a 10% discount, then 12% tax, shared by 2 people.
1) 1000 × 0.90 = 900
2) 900 × 1.12 = 1008
3) 1008 ÷ 2 = 504
Check: 504 × 2 = 1008; 1008 ÷ 1.12 = 900; 900 ÷ 0.90 = 1000. Correct.
Final answer: ₹504 per person.
Now my problem: A jacket costs ₹2,000 with a 15% discount, then 5% tax, split among 3 friends. How much does each pay?</t>
  </si>
  <si>
    <t xml:space="preserve">1. 2000 × 0.85 = 1700
2. 1700 × 1.05 = 1785
3. 1785 ÷ 3 = 595
Check: 595 × 3 = 1785; 1785 ÷ 1.05 = 1700; 1700 ÷ 0.85 = 2000. Correct.
Final answer: ₹595 per friend.</t>
  </si>
  <si>
    <t xml:space="preserve">Followed all 5 rules, and the 'Check:' line proves the answer by working backwards.</t>
  </si>
  <si>
    <t xml:space="preserve">Full marks on an easy problem, so v2 and v3 barely differ. A harder problem would separate them better.</t>
  </si>
  <si>
    <t xml:space="preserve">R2</t>
  </si>
  <si>
    <t xml:space="preserve">logic / scheduling puzzle</t>
  </si>
  <si>
    <t xml:space="preserve">Can you solve this puzzle? Four colleagues (Ananya, kiru, Claran and maya) each book one 1-hour slot in a conference room on Monday morning. The slots are 9-10 AM, 10-11 AM, 11 AM-12 PM and 12-1 PM, and everyone gets a different slot. Rules: (1) Clara's meeting is earlier than David's. (2) Ananya's meeting is immediately before Brian's. (3) David cannot have the 12-1 PM slot. (4) Brian is not available 11 AM-12 PM. Who gets which slot?</t>
  </si>
  <si>
    <r>
      <rPr>
        <sz val="10"/>
        <rFont val="Arial"/>
        <family val="0"/>
        <charset val="1"/>
      </rPr>
      <t xml:space="preserve">Here is the step-by-schlution to the puzzle based on the rules provided (noting that the names in the rules correspond to Ananya, Brian, Clara, and David):
Slot Assignments: Clara 9-10 AM | David 10-11 AM | Ananya 11 AM-12 PM | Brian 12-1 PM
Step-by-Step: (1) Rule 2 gives the pairs 9-10 &amp; 10-11, 10-11 &amp; 11-12, 11-12 &amp; 12-1. (2) Rule 4 removes the 10-11 &amp; 11-12 pair. (3) If Ananya and Brian took 9-10 &amp; 10-11, Clara and David would need 11-12 &amp; 12-1, but David cannot take 12-1, so Ananya and Brian take the later slots. (4) Clara and David take 9-10 and 10-11, Clara first.
[condensed; the original contains garbled characters such as '12-1</t>
    </r>
    <r>
      <rPr>
        <sz val="10"/>
        <rFont val="Noto Sans CJK SC"/>
        <family val="2"/>
      </rPr>
      <t xml:space="preserve">티</t>
    </r>
    <r>
      <rPr>
        <sz val="10"/>
        <rFont val="Arial"/>
        <family val="0"/>
        <charset val="1"/>
      </rPr>
      <t xml:space="preserve">']</t>
    </r>
  </si>
  <si>
    <t xml:space="preserve">Final schedule is correct and the reasoning is sound. Weaknesses: a bulleted list instead of a table, garbled characters in the output, and no final check against all four rules. Validity note: my typed prompt used the wrong names (kiru, Claran, maya) while the rules say Clara, David and Brian. Gemini quietly matched them, so this run was not on the exact puzzle text.</t>
  </si>
  <si>
    <t xml:space="preserve">Ask for a table and step-by-step reasoning (v2). Retype v1 with the correct names if you rerun it.</t>
  </si>
  <si>
    <t xml:space="preserve">Step-by-step + table output</t>
  </si>
  <si>
    <t xml:space="preserve">I'm stuck on this scheduling puzzle. Please think through it step by step and give the final answer as a table with two columns: Time Slot and Person.
Four colleagues (Ananya, Brian, Clara and David) each book one 1-hour slot in a conference room on Monday morning. The slots are 9-10 AM, 10-11 AM, 11 AM-12 PM and 12-1 PM, and everyone gets a different slot. Rules: (1) Clara's meeting is earlier than David's. (2) Ananya's meeting is immediately before Brian's. (3) David cannot have the 12-1 PM slot. (4) Brian is not available 11 AM-12 PM. Who gets which slot?</t>
  </si>
  <si>
    <t xml:space="preserve">Tested the placements of Ananya and Brian (Rule 2 and Rule 4): Option A 9-10 / 10-11; Option B 10-11 / 11-12 (invalid, Rule 4); Option C 11-12 / 12-1. Option C leaves 9-10 and 10-11 for Clara and David, so Clara 9-10, David 10-11; Rules 3 and 4 checked and satisfied. Option A forces David into 12-1, which breaks Rule 3, so it is invalid.
Table: 9-10 AM Clara | 10-11 AM David | 11 AM-12 PM Ananya | 12-1 PM Brian</t>
  </si>
  <si>
    <t xml:space="preserve">Correct, with the table requested and rules 3 and 4 explicitly checked.</t>
  </si>
  <si>
    <t xml:space="preserve">Add a numbered rule list, explicit elimination for every case and a final verification (v3).</t>
  </si>
  <si>
    <t xml:space="preserve">Method (case elimination) + verification</t>
  </si>
  <si>
    <t xml:space="preserve">Act like a logic-puzzle coach. Solve the puzzle below using this method:
1. Number each rule.
2. Find the most restricted person or pair and list all their possible slots.
3. Test every possibility against ALL the rules and write 'eliminated by rule X' or 'valid'.
4. Confirm that exactly one complete schedule survives.
5. Give the final schedule as a table, then a line starting 'Verification:' that checks each rule.
Puzzle:
Four colleagues (Ananya, Brian, Clara and David) each book one 1-hour slot in a conference room on Monday morning. The slots are 9-10 AM, 10-11 AM, 11 AM-12 PM and 12-1 PM, and everyone gets a different slot. Rules: (1) Clara's meeting is earlier than David's. (2) Ananya's meeting is immediately before Brian's. (3) David cannot have the 12-1 PM slot. (4) Brian is not available 11 AM-12 PM. Who gets which slot?</t>
  </si>
  <si>
    <t xml:space="preserve">1. Rules numbered 1 to 4.
2. Most restricted pair: Ananya and Brian (consecutive slots). Possibilities: (9-10, 10-11), (10-11, 11-12), (11-12, 12-1).
3. Possibility 1: eliminated by rule 3. Possibility 2: eliminated by rule 4. Possibility 3: valid (Clara 9-10, David 10-11 remain).
4. Exactly one schedule survives.
5. Table: 9-10 AM Clara | 10-11 AM David | 11 AM-12 PM Ananya | 12-1 PM Brian
Verification: (1) Clara 9-10 is before David 10-11. (2) Ananya 11-12 is immediately before Brian 12-1. (3) David is not at 12-1. (4) Brian is not at 11-12. Correct.</t>
  </si>
  <si>
    <t xml:space="preserve">Followed every step of the method, labelled each elimination with its rule number and ended with a full verification.</t>
  </si>
  <si>
    <t xml:space="preserve">Full marks. Keep this method for harder puzzles.</t>
  </si>
  <si>
    <t xml:space="preserve">R3</t>
  </si>
  <si>
    <t xml:space="preserve">decision with reasons</t>
  </si>
  <si>
    <t xml:space="preserve">Which of these laptops should a student buy, and why?
A: ₹48,000 | 8 GB RAM | 512 GB SSD | 1.5 kg | about 9 hours battery
B: ₹62,000 | 16 GB RAM | 512 GB SSD | 1.3 kg | about 12 hours battery
C: ₹39,000 | 8 GB RAM | 256 GB SSD | 2.2 kg | about 5 hours battery</t>
  </si>
  <si>
    <t xml:space="preserve">A student should buy Laptop B (₹62,000): 16 GB RAM is future-proof, 1.3 kg is easy to carry, about 12 hours of battery lasts all day. Laptop A (₹48,000): decent battery and weight but 8 GB RAM may bottleneck; 'a good budget alternative if ₹62,000 strictly exceeds your budget'. Laptop C (₹39,000): cheapest but only 256 GB, 2.2 kg and about 5 hours of battery; not recommended.</t>
  </si>
  <si>
    <t xml:space="preserve">Reasonable answer for the information given, with a short hint about budget. But v1 gave no budget, so Gemini picked the best-spec laptop (B), which is the opposite of the right answer once the ₹55,000 limit is known.</t>
  </si>
  <si>
    <t xml:space="preserve">Add budget, usage and the criteria to compare (v2). This shows why context matters.</t>
  </si>
  <si>
    <t xml:space="preserve">Context (budget, use) + comparison criteria</t>
  </si>
  <si>
    <t xml:space="preserve">I'm an engineering student with a budget of ₹55,000. I'll use the laptop for coding and online lectures and carry it to college every day. Which of these three should I buy? Please compare them on price, portability, battery and storage, then give me one clear recommendation.
A: ₹48,000 | 8 GB RAM | 512 GB SSD | 1.5 kg | about 9 hours battery
B: ₹62,000 | 16 GB RAM | 512 GB SSD | 1.3 kg | about 12 hours battery
C: ₹39,000 | 8 GB RAM | 256 GB SSD | 2.2 kg | about 5 hours battery</t>
  </si>
  <si>
    <t xml:space="preserve">Comparison table with a 'Fits Budget (≤ ₹55,000)?' column: A yes (₹7,000 to spare), B no (₹7,000 over), C yes. Detailed breakdown by price, portability, battery and storage.
Recommendation: Buy Laptop A, the only option that fits the budget while giving 1.5 kg, about 9 hours of battery and 512 GB.</t>
  </si>
  <si>
    <t xml:space="preserve">Used the budget, compared on all four criteria and gave one clear recommendation (A). Minor: added assumptions not in the specs (an 'eventual RAM upgrade', Windows system files).</t>
  </si>
  <si>
    <t xml:space="preserve">Add a rule-out step, a no-invention rule and 'what would change your answer' (v3).</t>
  </si>
  <si>
    <t xml:space="preserve">Hard-constraint rule-out + trade-offs + what-would-change + no-invention rule</t>
  </si>
  <si>
    <t xml:space="preserve">Act as an honest tech advisor. My situation: engineering student, coding and online lectures, carry it daily, hard budget limit of ₹55,000.
Please:
1. Rule out any laptop that breaks my hard budget limit and say why.
2. Compare the remaining ones in a small table.
3. Explain the trade-offs in plain words.
4. Give ONE recommendation with your reasoning.
5. Tell me what would change your answer (for example, a higher budget).
Use only the specs I've listed. Don't invent extra details.
A: ₹48,000 | 8 GB RAM | 512 GB SSD | 1.5 kg | about 9 hours battery
B: ₹62,000 | 16 GB RAM | 512 GB SSD | 1.3 kg | about 12 hours battery
C: ₹39,000 | 8 GB RAM | 256 GB SSD | 2.2 kg | about 5 hours battery</t>
  </si>
  <si>
    <t xml:space="preserve">1. Ruled out Laptop B: ₹62,000 breaks the ₹55,000 hard limit.
2. Table of A vs C (price, RAM, storage, weight, battery).
3. Trade-offs: A costs ₹9,000 more but gives double the storage, a lighter device and nearly double the battery.
4. Recommendation: Laptop A.
5. What would change the answer: a budget above ₹62,000 would make Laptop B the choice (16 GB RAM, lightest, best battery).</t>
  </si>
  <si>
    <t xml:space="preserve">Followed all five steps, used only the listed specs, and gave a useful 'what would change' point.</t>
  </si>
  <si>
    <t xml:space="preserve">Full marks.</t>
  </si>
  <si>
    <t xml:space="preserve">E1</t>
  </si>
  <si>
    <t xml:space="preserve">Extraction</t>
  </si>
  <si>
    <t xml:space="preserve">messy email to JSON</t>
  </si>
  <si>
    <t xml:space="preserve">Can you pull out the important details from this email?
Subject: invoice question / oct 12th caterign??
Hey Marcus,
quick qestion about the bill sent over on Octobr 14th for the event on 10/12. It says the total due is $1,485.50 but i swear we talked about the early bird rate being closer to $1,250? Also noticed a duplicate charge of $75 for ice bags lol.
can u look into this before friday so i can run payroll and send the wire out?? thx!
- Dave</t>
  </si>
  <si>
    <t xml:space="preserve">Here are the important details extracted from the email:
- Sender: Dave
- Recipient: Marcus
- Event Date: October 12th (10/12)
- Invoice Date: October 14th
- Billed Total: $1,485.50
- Disputed Items / Issues: Rate discrepancy (Dave believes it should be closer to the early bird rate of $1,250); Duplicate charge of $75 for ice bags
- Deadline: Before Friday (so payroll and the wire transfer can be processed)</t>
  </si>
  <si>
    <t xml:space="preserve">All values are correct and nothing was invented. Format is a clear bulleted list, not JSON, because v1 never asked for JSON.</t>
  </si>
  <si>
    <t xml:space="preserve">Name the JSON keys (v2).</t>
  </si>
  <si>
    <t xml:space="preserve">JSON key list</t>
  </si>
  <si>
    <t xml:space="preserve">Please extract the details from this email and return them as JSON with these keys: sender_name, recipient_name, bill_date, event_date, total_due_usd, expected_rate_usd, duplicate_charge_usd, response_deadline.
Email:
Subject: invoice question / oct 12th caterign??
Hey Marcus,
quick qestion about the bill sent over on Octobr 14th for the event on 10/12. It says the total due is $1,485.50 but i swear we talked about the early bird rate being closer to $1,250? Also noticed a duplicate charge of $75 for ice bags lol.
can u look into this before friday so i can run payroll and send the wire out?? thx!
- Dave</t>
  </si>
  <si>
    <t xml:space="preserve">{ "sender_name": "Dave", "recipient_name": "Marcus", "bill_date": "October 14th", "event_date": "10/12", "total_due_usd": 1485.50, "expected_rate_usd": 1250.00, "duplicate_charge_usd": 75.00, "response_deadline": "Friday" }</t>
  </si>
  <si>
    <t xml:space="preserve">Valid JSON with the right keys and correct numbers; no invented year. Minor: dates use mixed formats ('October 14th' vs '10/12').</t>
  </si>
  <si>
    <t xml:space="preserve">Add a date-format rule, a null rule and an example (v3).</t>
  </si>
  <si>
    <t xml:space="preserve">Rules + example + null for missing values</t>
  </si>
  <si>
    <t xml:space="preserve">You are a careful data-entry assistant. Read the email and return ONLY valid JSON (no explanation, no markdown) with exactly these keys: sender_name, recipient_name, bill_date, event_date, total_due_usd, expected_rate_usd, duplicate_charge_usd, response_deadline.
Rules:
- Write dates as MM-DD. The year isn't given, so don't guess it.
- Money values are plain numbers (no $ or commas).
- If something isn't in the email, use null. Never make up a value.
- Copy the deadline as written (for example, 'Friday').
Example email: "hi sam, quick one: the bill from may 3rd for the workshop on 5/1 shows $900 but we agreed on about $800. pls fix by monday. - priya"
Example output: {"sender_name":"Priya","recipient_name":"Sam","bill_date":"05-03","event_date":"05-01","total_due_usd":900,"expected_rate_usd":800,"duplicate_charge_usd":null,"response_deadline":"Monday"}
Email:
Subject: invoice question / oct 12th caterign??
Hey Marcus,
quick qestion about the bill sent over on Octobr 14th for the event on 10/12. It says the total due is $1,485.50 but i swear we talked about the early bird rate being closer to $1,250? Also noticed a duplicate charge of $75 for ice bags lol.
can u look into this before friday so i can run payroll and send the wire out?? thx!
- Dave</t>
  </si>
  <si>
    <t xml:space="preserve">{ "sender_name": "Dave", "recipient_name": "Marcus", "bill_date": "10-14", "event_date": "10-12", "total_due_usd": 1485.5, "expected_rate_usd": 1250, "duplicate_charge_usd": 75, "response_deadline": "friday" }</t>
  </si>
  <si>
    <t xml:space="preserve">Every value matches the key. Dates are in the requested MM-DD format, money is plain numbers, and the deadline is copied as written ('friday').</t>
  </si>
  <si>
    <t xml:space="preserve">E2</t>
  </si>
  <si>
    <t xml:space="preserve">action items from meeting notes</t>
  </si>
  <si>
    <t xml:space="preserve">What are the action items from these meeting notes?
Project Falcon weekly sync, 28 Sept. Present: Meera, Karthik, Sana, Dev.
- Meera said she will send the revised budget to finance by Friday.
- We agreed the logo needs another round. Karthik to share 3 new options by Wed.
- Sana mentioned the vendor contract is still unsigned, someone should chase it.
- Dev will fix the login bug, no date yet.
- General chat about the offsite, nothing decided.</t>
  </si>
  <si>
    <t xml:space="preserve">Here are the action items from the meeting notes:
- Meera: Send the revised budget to finance by Friday.
- Karthik: Share 3 new logo options by Wednesday.
- Unassigned / Team: Chase the unsigned vendor contract.
- Dev: Fix the login bug (no deadline specified).</t>
  </si>
  <si>
    <t xml:space="preserve">Found all 4 action items with correct owners, and correctly left the contract item unassigned. Format is a bulleted list, not the target table.</t>
  </si>
  <si>
    <t xml:space="preserve">Ask for a table with named columns (v2).</t>
  </si>
  <si>
    <t xml:space="preserve">Table columns</t>
  </si>
  <si>
    <t xml:space="preserve">Please turn these meeting notes into a table of action items with the columns Action, Owner and Deadline.
Project Falcon weekly sync, 28 Sept. Present: Meera, Karthik, Sana, Dev.
- Meera said she will send the revised budget to finance by Friday.
- We agreed the logo needs another round. Karthik to share 3 new options by Wed.
- Sana mentioned the vendor contract is still unsigned, someone should chase it.
- Dev will fix the login bug, no date yet.
- General chat about the offsite, nothing decided.</t>
  </si>
  <si>
    <t xml:space="preserve">Table: Send revised budget to finance | Meera | Friday; Share 3 new logo options | Karthik | Wednesday; Follow up on the unsigned vendor contract | Unassigned / TBD | None specified; Fix the login bug | Dev | Not specified</t>
  </si>
  <si>
    <t xml:space="preserve">Correct table with 4 items. Minor: placeholders are inconsistent ('Unassigned / TBD', 'None specified', 'Not specified').</t>
  </si>
  <si>
    <t xml:space="preserve">Fix the exact placeholder words and add a count line (v3).</t>
  </si>
  <si>
    <t xml:space="preserve">Rules for Unassigned / Not set + count line + example row</t>
  </si>
  <si>
    <t xml:space="preserve">You are a project assistant. List only the tasks someone has to DO, not general discussion.
Rules:
- Return a markdown table with columns: Action | Owner | Deadline.
- If nobody is clearly assigned, write 'Unassigned'. Don't assume the person who mentioned it owns it.
- If there's no date, write 'Not set'.
- After the table, write 'Total action items: N'.
Example row: | Book the meeting room | Anil | Monday |
Notes:
Project Falcon weekly sync, 28 Sept. Present: Meera, Karthik, Sana, Dev.
- Meera said she will send the revised budget to finance by Friday.
- We agreed the logo needs another round. Karthik to share 3 new options by Wed.
- Sana mentioned the vendor contract is still unsigned, someone should chase it.
- Dev will fix the login bug, no date yet.
- General chat about the offsite, nothing decided.</t>
  </si>
  <si>
    <t xml:space="preserve">Table: Send the revised budget to finance | Meera | Friday; Share 3 new logo options | Karthik | Wed; Chase unsigned vendor contract | Unassigned | Not set; Fix the login bug | Dev | Not set
Total action items: 4</t>
  </si>
  <si>
    <t xml:space="preserve">Exact placeholders ('Unassigned', 'Not set'), correct owners and the count line.</t>
  </si>
  <si>
    <t xml:space="preserve">E3</t>
  </si>
  <si>
    <t xml:space="preserve">product details with missing information</t>
  </si>
  <si>
    <t xml:space="preserve">What details can you tell me about the product in this review?
Picked up the Zephyr X2 earbuds last month for about ₹2,500. The battery easily lasts a full day and the bass is punchy. The charging case feels a bit cheap though. I haven't tried them in the rain, so no idea about water resistance.</t>
  </si>
  <si>
    <t xml:space="preserve">(Run 1) Based on the review, here are the key details about the Zephyr X2 earbuds:
- Price: Around ₹2,500 (purchased last month)
- Battery Life: Easily lasts a full day on a single charge
- Sound Quality: Features punchy bass
- Build &amp; Design: The earbuds/sound are well-received, but the charging case feels a bit cheap
- Water Resistance: Untested in the rain, so unknown
(Run 2, same prompt) Same list, but Build Quality: 'The charging case feels a bit cheap' only.</t>
  </si>
  <si>
    <t xml:space="preserve">Medium</t>
  </si>
  <si>
    <t xml:space="preserve">Did not invent water resistance. Weaknesses: bulleted list instead of JSON; run 1 added an unsupported claim ('earbuds/sound are well-received') that run 2 dropped, so the same prompt gave slightly different quality. It also never says noise cancellation and colour are missing.</t>
  </si>
  <si>
    <t xml:space="preserve">Name the JSON keys and require null for missing details (v2).</t>
  </si>
  <si>
    <t xml:space="preserve">Extract the product details from this review into JSON with the keys: product_name, price_inr, battery, sound_quality, build_quality, water_resistance, noise_cancellation, colour.
Review:
Picked up the Zephyr X2 earbuds last month for about ₹2,500. The battery easily lasts a full day and the bass is punchy. The charging case feels a bit cheap though. I haven't tried them in the rain, so no idea about water resistance.</t>
  </si>
  <si>
    <t xml:space="preserve">{ "product_name": "Zephyr X2 earbuds", "price_inr": 2500, "battery": "easily lasts a full day", "sound_quality": "punchy bass", "build_quality": "charging case feels a bit cheap", "water_resistance": null, "noise_cancellation": null, "colour": null }</t>
  </si>
  <si>
    <t xml:space="preserve">Correct JSON, with null for every missing detail and nothing invented.</t>
  </si>
  <si>
    <t xml:space="preserve">Add the approximate-price flag and a never-guess rule (v3).</t>
  </si>
  <si>
    <t xml:space="preserve">Never-guess rule + approximate-price flag</t>
  </si>
  <si>
    <t xml:space="preserve">You are a careful product-data analyst. Extract details from the review below as ONLY valid JSON with these keys: product_name, price_inr, battery, sound_quality, build_quality, water_resistance, noise_cancellation, colour.
Rules:
- Use only what the reviewer actually says. If a detail isn't mentioned, or the reviewer says they don't know, use null.
- Never guess or fill in typical specs for this kind of product.
- price_inr is a number. The reviewer says 'about', so add a key price_is_approximate set to true or false.
- Keep the other values to a short phrase in the reviewer's words.
Review:
Picked up the Zephyr X2 earbuds last month for about ₹2,500. The battery easily lasts a full day and the bass is punchy. The charging case feels a bit cheap though. I haven't tried them in the rain, so no idea about water resistance.</t>
  </si>
  <si>
    <t xml:space="preserve">{ "product_name": "Zephyr X2 earbuds", "price_inr": 2500, "battery": "easily lasts a full day", "sound_quality": "bass is punchy", "build_quality": "charging case feels a bit cheap", "water_resistance": null, "noise_cancellation": null, "colour": null, "price_is_approximate": true }</t>
  </si>
  <si>
    <t xml:space="preserve">Correct, and the extra price_is_approximate flag handled the word 'about'.</t>
  </si>
  <si>
    <t xml:space="preserve">S1</t>
  </si>
  <si>
    <t xml:space="preserve">Summarization</t>
  </si>
  <si>
    <t xml:space="preserve">news article into 3 bullets</t>
  </si>
  <si>
    <t xml:space="preserve">To run (rerun)</t>
  </si>
  <si>
    <t xml:space="preserve">Can you summarize this article for me?
Rivertown to launch 40 electric buses on three city routes from 1 November
Rivertown Municipal Transport will put 40 electric buses on the road on 1 November, covering three routes that link the railway station, the main market and the university campus. The buses were bought with a Rs 96 crore grant from the state government and will replace 55 diesel buses that are more than 12 years old.
Officials say the flat fare will stay at Rs 15 for the first six months. Each bus can run about 180 kilometres on a single charge, and two new charging depots at Eastside and Lakeview will handle overnight charging. The transport department estimates that the switch will cut the city's bus emissions by about 30 percent and save Rs 8 crore a year in fuel costs.
Not everyone is convinced. A commuters' association said the 40 new buses are fewer than the 55 being retired, and it fears longer waiting times during peak hours. The department replied that a further 25 buses will be ordered next year if passenger numbers hold up.
The first buses will be flagged off by the mayor at the railway station at 8 a.m.</t>
  </si>
  <si>
    <t xml:space="preserve">Not run before. This prompt now includes a sample article, ready to run.</t>
  </si>
  <si>
    <t xml:space="preserve">Length + audience constraint</t>
  </si>
  <si>
    <t xml:space="preserve">Please summarize this article in exactly 3 bullet points, each under 20 words, for a general reader.
Rivertown to launch 40 electric buses on three city routes from 1 November
Rivertown Municipal Transport will put 40 electric buses on the road on 1 November, covering three routes that link the railway station, the main market and the university campus. The buses were bought with a Rs 96 crore grant from the state government and will replace 55 diesel buses that are more than 12 years old.
Officials say the flat fare will stay at Rs 15 for the first six months. Each bus can run about 180 kilometres on a single charge, and two new charging depots at Eastside and Lakeview will handle overnight charging. The transport department estimates that the switch will cut the city's bus emissions by about 30 percent and save Rs 8 crore a year in fuel costs.
Not everyone is convinced. A commuters' association said the 40 new buses are fewer than the 55 being retired, and it fears longer waiting times during peak hours. The department replied that a further 25 buses will be ordered next year if passenger numbers hold up.
The first buses will be flagged off by the mayor at the railway station at 8 a.m.</t>
  </si>
  <si>
    <t xml:space="preserve">Earlier attempt not scored: in your transcript no article was pasted (v2 and v3), so Gemini asked for it; v1 was never run. This prompt now includes a sample article, ready to run.</t>
  </si>
  <si>
    <t xml:space="preserve">Bullet roles + no-outside-facts rule + format example</t>
  </si>
  <si>
    <t xml:space="preserve">You are a news editor. Summarize the article below in exactly 3 bullet points.
Rules:
- Bullet 1: what happened. Bullet 2: the most important detail or quote. Bullet 3: what happens next.
- Each bullet is 20 words or fewer.
- Use only facts stated in the article. Don't add outside knowledge or opinions.
- Output only the 3 bullets.
Format example: - Company X will open 5 stores on 1 May, replacing 3 older ones.
Article:
Rivertown to launch 40 electric buses on three city routes from 1 November
Rivertown Municipal Transport will put 40 electric buses on the road on 1 November, covering three routes that link the railway station, the main market and the university campus. The buses were bought with a Rs 96 crore grant from the state government and will replace 55 diesel buses that are more than 12 years old.
Officials say the flat fare will stay at Rs 15 for the first six months. Each bus can run about 180 kilometres on a single charge, and two new charging depots at Eastside and Lakeview will handle overnight charging. The transport department estimates that the switch will cut the city's bus emissions by about 30 percent and save Rs 8 crore a year in fuel costs.
Not everyone is convinced. A commuters' association said the 40 new buses are fewer than the 55 being retired, and it fears longer waiting times during peak hours. The department replied that a further 25 buses will be ordered next year if passenger numbers hold up.
The first buses will be flagged off by the mayor at the railway station at 8 a.m.</t>
  </si>
  <si>
    <t xml:space="preserve">S2</t>
  </si>
  <si>
    <t xml:space="preserve">abstract for a 10-year-old</t>
  </si>
  <si>
    <t xml:space="preserve">Can you explain this research abstract in simple words?
Background: Adolescents often sleep fewer hours than recommended, yet the effect of short sleep on learning is not well quantified. Methods: We conducted a randomized crossover study with 84 students aged 14 to 16. Each participant slept either 6 or 9 hours per night for five consecutive nights, then completed a standardized vocabulary-learning task and a delayed recall test 24 hours later. Results: Students recalled 22% fewer words after the 6-hour condition than after the 9-hour condition (p &lt; 0.001). Reaction times were also 11% slower. Effects were similar across sexes. Conclusions: Even modest sleep restriction measurably impairs memory consolidation in teenagers. School start times and sleep education may deserve greater attention.</t>
  </si>
  <si>
    <t xml:space="preserve">Here is a simple breakdown of what this study means:
- What they tested: how getting less sleep affects how well teenagers learn and remember.
- How they did it: 84 teenagers (14 to 16) slept 6 or 9 hours a night for five days, then tried to learn vocabulary.
- What they found: after 6 hours they remembered 22% fewer words a day later, and their reaction times were 11% slower.
- The takeaway: even a little sleep loss hurts a teenager's ability to remember and process information; schools and parents should help teens get enough sleep.
[condensed, about 140 words in the original]</t>
  </si>
  <si>
    <t xml:space="preserve">Accurate and keeps the key numbers (22%, 11%). But it is about 140 words in bullets, not a short paragraph of about 50 words for a 10-year-old.</t>
  </si>
  <si>
    <t xml:space="preserve">State the audience and the length (v2).</t>
  </si>
  <si>
    <t xml:space="preserve">Audience + length target</t>
  </si>
  <si>
    <t xml:space="preserve">Please rewrite this abstract in about 50 words so a 10-year-old can understand it. Use short sentences and everyday words.
Background: Adolescents often sleep fewer hours than recommended, yet the effect of short sleep on learning is not well quantified. Methods: We conducted a randomized crossover study with 84 students aged 14 to 16. Each participant slept either 6 or 9 hours per night for five consecutive nights, then completed a standardized vocabulary-learning task and a delayed recall test 24 hours later. Results: Students recalled 22% fewer words after the 6-hour condition than after the 9-hour condition (p &lt; 0.001). Reaction times were also 11% slower. Effects were similar across sexes. Conclusions: Even modest sleep restriction measurably impairs memory consolidation in teenagers. School start times and sleep education may deserve greater attention.</t>
  </si>
  <si>
    <t xml:space="preserve">Scientists tested 84 teenagers to see how sleep affects their brains. For five nights, the kids slept either six or nine hours. The students who slept less forgot more new words and were slower to react. This proves that getting enough sleep every night helps your brain learn and remember things.</t>
  </si>
  <si>
    <t xml:space="preserve">51 words (counted), short sentences and everyday words. But it dropped the key number (22%) and 'This proves' overstates what one study shows.</t>
  </si>
  <si>
    <t xml:space="preserve">Add a word range, banned jargon, the key number and a self word count (v3).</t>
  </si>
  <si>
    <t xml:space="preserve">Strict word range + banned jargon + key number + self word count</t>
  </si>
  <si>
    <t xml:space="preserve">Rewrite the abstract below for a curious 10-year-old.
Rules:
- 45 to 55 words.
- Short, friendly sentences and everyday words. Avoid: randomized, crossover, consolidation, p-value.
- Include the main result with its key number, and say why it matters.
- Don't add anything that isn't in the abstract.
- After the paragraph, write 'Word count: N' (count carefully).
Abstract:
Background: Adolescents often sleep fewer hours than recommended, yet the effect of short sleep on learning is not well quantified. Methods: We conducted a randomized crossover study with 84 students aged 14 to 16. Each participant slept either 6 or 9 hours per night for five consecutive nights, then completed a standardized vocabulary-learning task and a delayed recall test 24 hours later. Results: Students recalled 22% fewer words after the 6-hour condition than after the 9-hour condition (p &lt; 0.001). Reaction times were also 11% slower. Effects were similar across sexes. Conclusions: Even modest sleep restriction measurably impairs memory consolidation in teenagers. School start times and sleep education may deserve greater attention.</t>
  </si>
  <si>
    <t xml:space="preserve">Scientists tested teenagers who slept six hours a night instead of nine. The tired teens remembered 22% fewer new words! They also reacted slower. This proves that losing a little sleep really hurts your memory. It shows why school start times and learning about sleep deserve much more attention.
Word count: 49</t>
  </si>
  <si>
    <t xml:space="preserve">49 words (counted; Gemini's own count is right), no jargon, includes 22% and why it matters. Still says 'This proves', which overclaims.</t>
  </si>
  <si>
    <t xml:space="preserve">Add a rule against words like 'proves' and use 'suggests' instead.</t>
  </si>
  <si>
    <t xml:space="preserve">C1</t>
  </si>
  <si>
    <t xml:space="preserve">Coding</t>
  </si>
  <si>
    <t xml:space="preserve">email validator function</t>
  </si>
  <si>
    <t xml:space="preserve">Can you write a Python function that checks whether an email address is valid?</t>
  </si>
  <si>
    <t xml:space="preserve">import re
def is_valid_email(email: str) -&gt; bool:
    pattern = r"^[a-zA-Z0-9_.+-]+@[a-zA-Z0-9-]+\.[a-zA-Z0-9-.]+$"
    if re.match(pattern, email):
        return True
    return False
# examples + short 'How it works' bullets + note that real verification needs a confirmation link</t>
  </si>
  <si>
    <t xml:space="preserve">I ran the 10 tests: 9/10 pass. It wrongly accepts 'john@example..com' (consecutive dots), and a non-string input crashes with TypeError.</t>
  </si>
  <si>
    <t xml:space="preserve">Specify the function name, docstring and standard library (v2).</t>
  </si>
  <si>
    <t xml:space="preserve">Signature + docstring + standard library only</t>
  </si>
  <si>
    <t xml:space="preserve">I'm learning Python. Please write a function is_valid_email(email: str) -&gt; bool that checks whether an email address is valid. Use only the standard library, add a docstring, and explain in two sentences how it works.</t>
  </si>
  <si>
    <t xml:space="preserve">import re
def is_valid_email(email: str) -&gt; bool:
    """Validate whether an input string conforms to standard email syntax. [Args / Returns docstring]"""
    pattern = r"^[a-zA-Z0-9_.+-]+@[a-zA-Z0-9-]+\.[a-zA-Z0-9-.]+$"
    return bool(re.match(pattern, email))
+ two-sentence explanation</t>
  </si>
  <si>
    <t xml:space="preserve">Followed the requested format (docstring, standard library, two sentences). But it is the same regex as v1: 9/10 tests, and non-string input still crashes. Better wording did not fix the logic.</t>
  </si>
  <si>
    <t xml:space="preserve">Spell out the edge-case rules and give asserts (v3).</t>
  </si>
  <si>
    <t xml:space="preserve">Explicit edge-case rules + built-in asserts</t>
  </si>
  <si>
    <t xml:space="preserve">You are a senior Python developer. Write is_valid_email(email: str) -&gt; bool using the re module.
Rules:
- Exactly one '@' and no spaces.
- The part before '@' is not empty and may contain letters, digits and . _ % + -
- The domain has at least one dot. Every part between dots is non-empty and uses letters, digits or hyphens. No consecutive dots and no leading dot.
- The last part (like 'com') has at least 2 letters.
- Non-string input returns False.
Include a docstring, then these 10 assert statements:
Valid: john.doe@example.com, a_b+tag@mail.co.in, user123@sub.domain.org
Invalid: john@, @example.com, john@example, 'john doe@example.com', john@@example.com, john@example..com, john@.com
Reply with one code block and one line saying how many asserts you expect to pass.</t>
  </si>
  <si>
    <t xml:space="preserve">import re
def is_valid_email(email: str) -&gt; bool:
    """[docstring listing the rules]"""
    if not isinstance(email, str):
        return False
    pattern = r"^[a-zA-Z0-9._%+-]+@[a-zA-Z0-9-]+(\.[a-zA-Z0-9-]+)*\.[a-zA-Z]{2,}$"
    return bool(re.match(pattern, email))
[10 assert statements]
I expect all 10 asserts to pass.</t>
  </si>
  <si>
    <t xml:space="preserve">I ran it: 10/10 pass, and non-string input returns False. Its prediction ('all 10 pass') was correct. Tiny edge case: a trailing newline ('a@b.com\n') is still accepted.</t>
  </si>
  <si>
    <t xml:space="preserve">Full marks. Listing explicit rules plus test cases fixed the consecutive-dot bug.</t>
  </si>
  <si>
    <t xml:space="preserve">C2</t>
  </si>
  <si>
    <t xml:space="preserve">debug a hidden bug</t>
  </si>
  <si>
    <t xml:space="preserve">This Python function gives me the wrong answer. Can you find the bug and fix it?
def average_marks(marks):
    total = 0
    for i in range(len(marks) - 1):
        total += marks[i]
    return total / len(marks)</t>
  </si>
  <si>
    <t xml:space="preserve">Here are the bugs in your original function:
1. Missing the last element: range(len(marks) - 1) stops one item short.
2. Wrong loop boundary: it should iterate over all elements, or use sum().
3. Indentation/Syntax issue: 'return total / len(marks)' was placed on a new line or misaligned.
Fixed code: def average_marks(marks): if not marks: return 0; return sum(marks) / len(marks)</t>
  </si>
  <si>
    <t xml:space="preserve">Found the real bug and gave a correct fix, plus an empty-list guard. But bugs 1 and 2 are the same issue, and bug 3 comes from a line break in my pasted code ('return' then a new line), so the answer is padded and a little confusing. Returning 0 for an empty list is a design choice, not the only option.</t>
  </si>
  <si>
    <t xml:space="preserve">Give the intended behaviour and ask for a two-sentence explanation (v2).</t>
  </si>
  <si>
    <t xml:space="preserve">Intended behaviour + two-sentence explanation</t>
  </si>
  <si>
    <t xml:space="preserve">This function should return the average of a list of marks, so average_marks([80, 90, 100]) should give 90, but it doesn't. Please find the bug, explain it in two sentences, and show the corrected code.
def average_marks(marks):
    total = 0
    for i in range(len(marks) - 1):
        total += marks[i]
    return total / len(marks)</t>
  </si>
  <si>
    <t xml:space="preserve">The bug is in range(len(marks) - 1), which stops one element too early and completely excludes the last mark from the sum. Because range(n) is already exclusive of the upper bound, subtracting 1 iterates over indices 0 to n - 2 instead of 0 to n - 1.
Corrected code: [loop over range(len(marks)) with an empty-list guard] (Pythonic alternative: sum(marks) / len(marks)).</t>
  </si>
  <si>
    <t xml:space="preserve">Exactly two sentences, correct cause, correct fix and a bonus empty-list guard.</t>
  </si>
  <si>
    <t xml:space="preserve">Ask Gemini to trace the code and list other risks (v3).</t>
  </si>
  <si>
    <t xml:space="preserve">Trace, Bug, Fix, Risks sections</t>
  </si>
  <si>
    <t xml:space="preserve">You are a Python debugging assistant. This function should return the average of a list of marks; average_marks([80, 90, 100]) should return 90, but it doesn't.
Please answer in exactly these sections:
1) Trace: run the function by hand on [80, 90, 100], showing each loop step and the returned value versus the expected value.
2) Bug: the exact line that is wrong and why.
3) Fix: the smallest corrected version of the code.
4) Other risks: any other edge cases (for example an empty list), without changing the fix.
def average_marks(marks):
    total = 0
    for i in range(len(marks) - 1):
        total += marks[i]
    return total / len(marks)</t>
  </si>
  <si>
    <t xml:space="preserve">1) Trace: marks = [80, 90, 100]; range(2) gives i = 0 and 1; total becomes 80, then 170; the last item (100) is skipped; returns 170 / 3 = 56.666..., expected 90.0.
2) Bug: for i in range(len(marks) - 1) stops one index short.
3) Fix: for mark in marks: total += mark; return total / len(marks)
4) Other risks: an empty list raises ZeroDivisionError.</t>
  </si>
  <si>
    <t xml:space="preserve">Followed all four sections. The trace proves the bug (56.67 vs 90) and the empty-list risk is noted without changing the fix.</t>
  </si>
  <si>
    <t xml:space="preserve">C3</t>
  </si>
  <si>
    <t xml:space="preserve">explain code line by line</t>
  </si>
  <si>
    <t xml:space="preserve">Can you explain what this code does?
def unique(items):
    seen = set()
    out = []
    for x in items:
        if x not in seen:
            seen.add(x)
            out.append(x)
    return out</t>
  </si>
  <si>
    <t xml:space="preserve">This Python function takes a list (or any iterable) and removes duplicates while preserving the original order. How it works: (1) seen = set() tracks items already met (very fast O(1) lookups); (2) out = [] stores unique items in first-seen order; (3) loop over items; (4) if x not in seen, add to seen and append to out; (5) return out. Example: unique([1, 2, 2, 3, 1, 4, 2]) returns [1, 2, 3, 4].</t>
  </si>
  <si>
    <t xml:space="preserve">Correct explanation with a correct example output. No step-by-step trace, and no explanation of why a set is better than a list.</t>
  </si>
  <si>
    <t xml:space="preserve">Ask for a line-by-line explanation for a beginner (v2).</t>
  </si>
  <si>
    <t xml:space="preserve">Beginner audience + line-by-line + one sentence</t>
  </si>
  <si>
    <t xml:space="preserve">I'm a beginner in Python. Please explain this function line by line, then tell me in one sentence what the whole function does.
def unique(items):
    seen = set()
    out = []
    for x in items:
        if x not in seen:
            seen.add(x)
            out.append(x)
    return out</t>
  </si>
  <si>
    <t xml:space="preserve">Line-by-line explanation of all 8 lines (def, seen = set(), out = [], for, if x not in seen, seen.add, out.append, return), then: 'This function removes duplicate elements from a sequence while preserving the original order of their first appearance.'</t>
  </si>
  <si>
    <t xml:space="preserve">Clear and correct line-by-line explanation with the one-sentence summary requested. It mentions fast set lookups but gives no worked example.</t>
  </si>
  <si>
    <t xml:space="preserve">Add a worked trace, the 'why a set' question and a speed note (v3).</t>
  </si>
  <si>
    <t xml:space="preserve">Mentor role + ordered 5-part answer + worked trace</t>
  </si>
  <si>
    <t xml:space="preserve">Act as a patient Python mentor. Explain the function below in this order:
1. One sentence on what it does overall.
2. A line-by-line explanation in plain words.
3. Walk through the input [3, 1, 3, 2, 1] and show what 'seen' and 'out' contain after each loop step.
4. Why a set is used for 'seen' instead of a list.
5. One sentence on how fast it is for long lists.
Explain any technical term the first time you use it.
def unique(items):
    seen = set()
    out = []
    for x in items:
        if x not in seen:
            seen.add(x)
            out.append(x)
    return out</t>
  </si>
  <si>
    <t xml:space="preserve">1. Overall: returns only the unique items, in the order they first appeared.
2. Line-by-line explanation, defining each term (function, set, list, loop) on first use.
3. Walkthrough of [3, 1, 3, 2, 1]: seen = {3}, out = [3]; then {1, 3}, [3, 1]; 3 skipped; {1, 2, 3}, [3, 1, 2]; 1 skipped.
4. A set is used because it finds items instantly through hashing, while a list must be scanned one item at a time.
5. Runs in linear time, so it stays fast on very long lists.</t>
  </si>
  <si>
    <t xml:space="preserve">Followed the 5-part order, the trace is correct at every step, and technical terms are explained when first used.</t>
  </si>
  <si>
    <t xml:space="preserve">Task</t>
  </si>
  <si>
    <t xml:space="preserve">Input</t>
  </si>
  <si>
    <t xml:space="preserve">Correct Answer / What to check</t>
  </si>
  <si>
    <t xml:space="preserve">Source / Note</t>
  </si>
  <si>
    <t xml:space="preserve">₹595 (2000 × 0.85 = 1700; × 1.05 = 1785; ÷ 3 = 595).</t>
  </si>
  <si>
    <t xml:space="preserve">Written for this exercise.</t>
  </si>
  <si>
    <t xml:space="preserve">Four colleagues (Ananya, Brian, Clara and David) each book one 1-hour slot in a conference room on Monday morning. The slots are 9-10 AM, 10-11 AM, 11 AM-12 PM and 12-1 PM, and everyone gets a different slot. Rules: (1) Clara's meeting is earlier than David's. (2) Ananya's meeting is immediately before Brian's. (3) David cannot have the 12-1 PM slot. (4) Brian is not available 11 AM-12 PM. Who gets which slot?</t>
  </si>
  <si>
    <t xml:space="preserve">9-10 Clara, 10-11 David, 11-12 Ananya, 12-1 Brian (the only valid schedule).</t>
  </si>
  <si>
    <t xml:space="preserve">A: ₹48,000 | 8 GB RAM | 512 GB SSD | 1.5 kg | about 9 hours battery
B: ₹62,000 | 16 GB RAM | 512 GB SSD | 1.3 kg | about 12 hours battery
C: ₹39,000 | 8 GB RAM | 256 GB SSD | 2.2 kg | about 5 hours battery
(v2 and v3 add: engineering student, coding and online lectures, carries it daily, budget ₹55,000. v1 gives no context.)</t>
  </si>
  <si>
    <t xml:space="preserve">With the ₹55,000 budget: B is ruled out; A beats C (more storage, lighter, longer battery for ₹9,000 more). Without a budget, B is a defensible pick, which is why v1 chose it.</t>
  </si>
  <si>
    <t xml:space="preserve">Email from Dave to Marcus about a catering invoice (see the E1 prompts in the Evaluation Log for the full text).</t>
  </si>
  <si>
    <t xml:space="preserve">sender Dave, recipient Marcus, bill_date 10-14, event_date 10-12, total_due_usd 1485.50, expected_rate_usd 1250, duplicate_charge_usd 75, response_deadline 'friday'. No invented year.</t>
  </si>
  <si>
    <t xml:space="preserve">Project Falcon weekly sync notes with 5 bullets (see the E2 prompts in the Evaluation Log for the full text).</t>
  </si>
  <si>
    <t xml:space="preserve">4 items: Meera (budget, Friday), Karthik (3 logo options, Wednesday), vendor contract (Unassigned, no date), Dev (login bug, no date). Offsite chat is not an action item.</t>
  </si>
  <si>
    <t xml:space="preserve">Review of the Zephyr X2 earbuds (see the E3 prompts in the Evaluation Log for the full text).</t>
  </si>
  <si>
    <t xml:space="preserve">product Zephyr X2 earbuds, price 2500 (approximate), battery full day, bass punchy, case feels cheap; water_resistance, noise_cancellation and colour are null.</t>
  </si>
  <si>
    <t xml:space="preserve">Rivertown to launch 40 electric buses on three city routes from 1 November
Rivertown Municipal Transport will put 40 electric buses on the road on 1 November, covering three routes that link the railway station, the main market and the university campus. The buses were bought with a Rs 96 crore grant from the state government and will replace 55 diesel buses that are more than 12 years old.
Officials say the flat fare will stay at Rs 15 for the first six months. Each bus can run about 180 kilometres on a single charge, and two new charging depots at Eastside and Lakeview will handle overnight charging. The transport department estimates that the switch will cut the city's bus emissions by about 30 percent and save Rs 8 crore a year in fuel costs.
Not everyone is convinced. A commuters' association said the 40 new buses are fewer than the 55 being retired, and it fears longer waiting times during peak hours. The department replied that a further 25 buses will be ordered next year if passenger numbers hold up.
The first buses will be flagged off by the mayor at the railway station at 8 a.m.</t>
  </si>
  <si>
    <t xml:space="preserve">Exactly 3 bullets of 20 words or fewer: (1) 40 electric buses on 3 routes from 1 November, replacing 55 old diesel buses; (2) about 30% lower emissions and Rs 8 crore yearly fuel savings; (3) commuters fear longer waits because 40 is fewer than 55; 25 more buses may follow. No outside facts.</t>
  </si>
  <si>
    <t xml:space="preserve">Sample article written for this exercise (fictional), because the Chandrayaan article in your first transcript could not be verified. You may swap in a real article, but then rewrite this key.</t>
  </si>
  <si>
    <t xml:space="preserve">Sample abstract on teenage sleep and memory (see the S2 prompts in the Evaluation Log for the full text).</t>
  </si>
  <si>
    <t xml:space="preserve">45 to 55 words, no jargon, and says teens who slept 6 hours remembered about a fifth (22%) fewer words than after 9 hours.</t>
  </si>
  <si>
    <t xml:space="preserve">Sample abstract written for this exercise, not a real paper.</t>
  </si>
  <si>
    <t xml:space="preserve">(No input text. The prompt itself is the task.)</t>
  </si>
  <si>
    <t xml:space="preserve">Run the 10 tests: valid john.doe@example.com, a_b+tag@mail.co.in, user123@sub.domain.org; invalid john@, @example.com, john@example, 'john doe@example.com', john@@example.com, john@example..com, john@.com. Score accuracy by tests passed (10=5, 9=4, 7-8=3).</t>
  </si>
  <si>
    <t xml:space="preserve">def average_marks(marks):
    total = 0
    for i in range(len(marks) - 1):
        total += marks[i]
    return total / len(marks)</t>
  </si>
  <si>
    <t xml:space="preserve">Bug: range(len(marks) - 1) skips the last item. Returns 170/3 = 56.67 instead of 90. Fix: loop over the items or use sum(marks)/len(marks). Empty-list crash is a bonus.</t>
  </si>
  <si>
    <t xml:space="preserve">def unique(items):
    seen = set()
    out = []
    for x in items:
        if x not in seen:
            seen.add(x)
            out.append(x)
    return out</t>
  </si>
  <si>
    <t xml:space="preserve">Removes duplicates and keeps first-seen order; unique([3, 1, 3, 2, 1]) returns [3, 1, 2]; a set makes the 'seen?' check fast; one pass through the list.</t>
  </si>
  <si>
    <t xml:space="preserve">Score</t>
  </si>
  <si>
    <t xml:space="preserve">Meaning</t>
  </si>
  <si>
    <t xml:space="preserve">Fully correct, follows the target format, nothing missing</t>
  </si>
  <si>
    <t xml:space="preserve">Correct with a minor flaw</t>
  </si>
  <si>
    <t xml:space="preserve">Partly correct or missing something</t>
  </si>
  <si>
    <t xml:space="preserve">Mostly wrong or ignores the target format</t>
  </si>
  <si>
    <t xml:space="preserve">Unusable</t>
  </si>
  <si>
    <t xml:space="preserve">Criterion</t>
  </si>
  <si>
    <t xml:space="preserve">How to judge it</t>
  </si>
  <si>
    <t xml:space="preserve">Accuracy</t>
  </si>
  <si>
    <t xml:space="preserve">Correct versus the Answer Key (facts, numbers, logic; code that runs and passes the tests).</t>
  </si>
  <si>
    <t xml:space="preserve">Format</t>
  </si>
  <si>
    <t xml:space="preserve">Matches the task's target structure (JSON, table, 3 bullets, word limit, code block). Scored against the target, not only against what the prompt asked.</t>
  </si>
  <si>
    <t xml:space="preserve">Completeness</t>
  </si>
  <si>
    <t xml:space="preserve">Nothing required is missing; nothing extra and wrong is added.</t>
  </si>
  <si>
    <t xml:space="preserve">Average of the three criteria, calculated automatically.</t>
  </si>
  <si>
    <t xml:space="preserve">Run the same prompt 3 times: High = same quality each time, Medium = minor differences, Low = quality changes a lot. Blank = not tested.</t>
  </si>
  <si>
    <t xml:space="preserve">Summary</t>
  </si>
  <si>
    <t xml:space="preserve">Setup item</t>
  </si>
  <si>
    <t xml:space="preserve">Your entry</t>
  </si>
  <si>
    <t xml:space="preserve">v1 run: model</t>
  </si>
  <si>
    <t xml:space="preserve">Gemini 3.5 Flash-Lite, paid tier (self-reported by Gemini)</t>
  </si>
  <si>
    <t xml:space="preserve">v2 run: model</t>
  </si>
  <si>
    <t xml:space="preserve">Gemini 3.8 Flash (self-reported by Gemini)</t>
  </si>
  <si>
    <t xml:space="preserve">v3 run: model</t>
  </si>
  <si>
    <t xml:space="preserve">Gemini 3.1 Pro, paid tier (self-reported by Gemini)</t>
  </si>
  <si>
    <t xml:space="preserve">Interface</t>
  </si>
  <si>
    <t xml:space="preserve">Gemini web app (confirm). Earlier notes said Google AI Studio.</t>
  </si>
  <si>
    <t xml:space="preserve">Temperature</t>
  </si>
  <si>
    <t xml:space="preserve">Default. The Gemini app does not let you set it.</t>
  </si>
  <si>
    <t xml:space="preserve">Date tested</t>
  </si>
  <si>
    <t xml:space="preserve">Update with your real dates</t>
  </si>
  <si>
    <t xml:space="preserve">System instructions</t>
  </si>
  <si>
    <t xml:space="preserve">None</t>
  </si>
  <si>
    <t xml:space="preserve">Warning: the three runs report three different models. A model's self-description is not fully reliable, so check the model picker for each saved chat. If they really differ, the v1 to v3 gains are partly due to the model (v3 on a Pro model), not only the prompt. Say this in your reflection, or rerun v1 and v2 on the same model as v3.</t>
  </si>
  <si>
    <t xml:space="preserve">Results per task (automatic)</t>
  </si>
  <si>
    <t xml:space="preserve">Improvement (v3 minus v1)</t>
  </si>
  <si>
    <t xml:space="preserve">Best version</t>
  </si>
  <si>
    <t xml:space="preserve">Average score per category and version</t>
  </si>
  <si>
    <t xml:space="preserve">All scored tasks</t>
  </si>
  <si>
    <t xml:space="preserve">Reflection (based on your real results)</t>
  </si>
  <si>
    <t xml:space="preserve">What changed between versions</t>
  </si>
  <si>
    <t xml:space="preserve">v1 was a plain question. v2 added context, a role and a requested format. v3 added rules, an example and a self-check. Across the 10 scored tasks the average rose from about 4.1 (v1) to 4.7 (v2) to 5.0 (v3).</t>
  </si>
  <si>
    <t xml:space="preserve">Which technique helped most</t>
  </si>
  <si>
    <t xml:space="preserve">Telling the model the exact output format and rules. In extraction, v1 gave bullet lists, v2 gave JSON or a table, and v3 matched the exact formats (MM-DD dates, 'Not set', null). In R3, adding the ₹55,000 budget changed the recommendation from Laptop B to Laptop A. In C1, only v3's explicit edge-case rules and test cases fixed the consecutive-dot bug (9/10 to 10/10).</t>
  </si>
  <si>
    <t xml:space="preserve">Where improvement was small or odd</t>
  </si>
  <si>
    <t xml:space="preserve">Easy tasks (R1, R2) were already correct at v1, so only the format changed. In C1, v2's better wording did not fix the logic: the same regex still scored 9/10. In S2, v2 hit the length but lost the key number, so v1 and v2 tie at 4.0 until v3.</t>
  </si>
  <si>
    <t xml:space="preserve">What still failed</t>
  </si>
  <si>
    <t xml:space="preserve">S2 still says 'This proves' in v3 (an overclaim). C1 v3 still accepts a trailing newline. S1 has not been tested yet. Consistency was only checked for E3 v1, where the same prompt gave slightly different quality.</t>
  </si>
  <si>
    <t xml:space="preserve">Prompts worth reusing</t>
  </si>
  <si>
    <t xml:space="preserve">Role + numbered rules + 'use null if missing' for extraction; trace-then-fix for debugging; a hard-constraint rule-out step plus 'what would change your answer' for decisions; a word range plus self word-count for summaries.</t>
  </si>
  <si>
    <t xml:space="preserve">Limits of this experiment</t>
  </si>
  <si>
    <t xml:space="preserve">The runs used three different self-reported models; most v3 scores are 5.0, so these tasks do not separate good v3 prompts from great ones; the scores are my assessment of your outputs.</t>
  </si>
  <si>
    <t xml:space="preserve">Run validity notes (read before submitting)</t>
  </si>
  <si>
    <t xml:space="preserve">1. S1 (news summary) has no valid result: no article was pasted in v2 and v3, and v1 was not run.</t>
  </si>
  <si>
    <t xml:space="preserve">2. R2 v1 was run on a puzzle with mistyped names (kiru, Claran, maya), so it is not the identical input used in v2 and v3.</t>
  </si>
  <si>
    <t xml:space="preserve">3. C2 v1 code had a stray line break after 'return' from copy-paste; Gemini reported it as a third 'bug'.</t>
  </si>
  <si>
    <t xml:space="preserve">4. Your v3 transcript abbreviates inputs with [brackets] and '...'. This sheet logs the prepared v3 prompts. If you changed any wording, edit the Prompt Text cell.</t>
  </si>
  <si>
    <t xml:space="preserve">5. v1 for R3, E1, E2, E3, S2 and C1 did not state the target format or context, which is why they score lower. That is the intended v1 baseline.</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</si>
</sst>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10"/>
      <name val="Noto Sans CJK SC"/>
      <family val="2"/>
    </font>
    <font>
      <b val="true"/>
      <sz val="10"/>
      <color rgb="FFC00000"/>
      <name val="Arial"/>
      <family val="0"/>
      <charset val="1"/>
    </font>
    <font>
      <b val="true"/>
      <sz val="11"/>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FFF9DB"/>
      </patternFill>
    </fill>
    <fill>
      <patternFill patternType="solid">
        <fgColor rgb="FFE2F0D9"/>
        <bgColor rgb="FFF2F2F2"/>
      </patternFill>
    </fill>
    <fill>
      <patternFill patternType="solid">
        <fgColor rgb="FFFFFF00"/>
        <bgColor rgb="FFFFFF00"/>
      </patternFill>
    </fill>
    <fill>
      <patternFill patternType="solid">
        <fgColor rgb="FFFFF9DB"/>
        <bgColor rgb="FFF2F2F2"/>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DB"/>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05"/>
  </cols>
  <sheetData>
    <row r="1" customFormat="false" ht="17.35" hidden="false" customHeight="false" outlineLevel="0" collapsed="false">
      <c r="B1" s="1" t="s">
        <v>0</v>
      </c>
    </row>
    <row r="3" customFormat="false" ht="15" hidden="false" customHeight="false" outlineLevel="0" collapsed="false">
      <c r="B3" s="2" t="s">
        <v>1</v>
      </c>
      <c r="C3" s="3" t="str">
        <f aca="false">COUNT('Evaluation Log'!M2:M34)&amp;" of 33 runs scored"</f>
        <v>30 of 33 runs scored</v>
      </c>
    </row>
    <row r="4" customFormat="false" ht="23.85" hidden="false" customHeight="false" outlineLevel="0" collapsed="false">
      <c r="B4" s="2" t="s">
        <v>2</v>
      </c>
      <c r="C4" s="3" t="s">
        <v>3</v>
      </c>
    </row>
    <row r="5" customFormat="false" ht="46.25" hidden="false" customHeight="false" outlineLevel="0" collapsed="false">
      <c r="B5" s="2" t="s">
        <v>4</v>
      </c>
      <c r="C5" s="3" t="s">
        <v>5</v>
      </c>
    </row>
    <row r="6" customFormat="false" ht="23.85" hidden="false" customHeight="false" outlineLevel="0" collapsed="false">
      <c r="B6" s="2" t="s">
        <v>6</v>
      </c>
      <c r="C6" s="3" t="s">
        <v>7</v>
      </c>
    </row>
    <row r="7" customFormat="false" ht="23.85" hidden="false" customHeight="false" outlineLevel="0" collapsed="false">
      <c r="B7" s="2" t="s">
        <v>8</v>
      </c>
      <c r="C7" s="3" t="s">
        <v>9</v>
      </c>
    </row>
    <row r="8" customFormat="false" ht="23.85" hidden="false" customHeight="false" outlineLevel="0" collapsed="false">
      <c r="B8" s="2" t="s">
        <v>10</v>
      </c>
      <c r="C8" s="3" t="s">
        <v>11</v>
      </c>
    </row>
    <row r="9" customFormat="false" ht="23.85" hidden="false" customHeight="false" outlineLevel="0" collapsed="false">
      <c r="B9" s="2" t="s">
        <v>12</v>
      </c>
      <c r="C9" s="3"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8"/>
    <col collapsed="false" customWidth="true" hidden="false" outlineLevel="0" max="4" min="4" style="0" width="10"/>
    <col collapsed="false" customWidth="true" hidden="false" outlineLevel="0" max="6" min="5" style="0" width="18"/>
    <col collapsed="false" customWidth="true" hidden="false" outlineLevel="0" max="7" min="7" style="0" width="26"/>
    <col collapsed="false" customWidth="true" hidden="false" outlineLevel="0" max="8" min="8" style="0" width="70"/>
    <col collapsed="false" customWidth="true" hidden="false" outlineLevel="0" max="9" min="9" style="0" width="62"/>
    <col collapsed="false" customWidth="true" hidden="false" outlineLevel="0" max="11" min="10" style="0" width="11"/>
    <col collapsed="false" customWidth="true" hidden="false" outlineLevel="0" max="12" min="12" style="0" width="13"/>
    <col collapsed="false" customWidth="true" hidden="false" outlineLevel="0" max="13" min="13" style="0" width="10"/>
    <col collapsed="false" customWidth="true" hidden="false" outlineLevel="0" max="14" min="14" style="0" width="13"/>
    <col collapsed="false" customWidth="true" hidden="false" outlineLevel="0" max="15" min="15" style="0" width="52"/>
    <col collapsed="false" customWidth="true" hidden="false" outlineLevel="0" max="16" min="16" style="0" width="40"/>
  </cols>
  <sheetData>
    <row r="1" customFormat="false" ht="31.5" hidden="false" customHeight="true" outlineLevel="0" collapsed="false">
      <c r="A1" s="4" t="s">
        <v>14</v>
      </c>
      <c r="B1" s="4" t="s">
        <v>15</v>
      </c>
      <c r="C1" s="4" t="s">
        <v>16</v>
      </c>
      <c r="D1" s="4" t="s">
        <v>17</v>
      </c>
      <c r="E1" s="4" t="s">
        <v>18</v>
      </c>
      <c r="F1" s="4" t="s">
        <v>19</v>
      </c>
      <c r="G1" s="4" t="s">
        <v>20</v>
      </c>
      <c r="H1" s="4" t="s">
        <v>21</v>
      </c>
      <c r="I1" s="4" t="s">
        <v>22</v>
      </c>
      <c r="J1" s="4" t="s">
        <v>23</v>
      </c>
      <c r="K1" s="4" t="s">
        <v>24</v>
      </c>
      <c r="L1" s="4" t="s">
        <v>25</v>
      </c>
      <c r="M1" s="4" t="s">
        <v>26</v>
      </c>
      <c r="N1" s="4" t="s">
        <v>27</v>
      </c>
      <c r="O1" s="4" t="s">
        <v>28</v>
      </c>
      <c r="P1" s="4" t="s">
        <v>29</v>
      </c>
    </row>
    <row r="2" customFormat="false" ht="57.45" hidden="false" customHeight="false" outlineLevel="0" collapsed="false">
      <c r="A2" s="5" t="s">
        <v>30</v>
      </c>
      <c r="B2" s="5" t="s">
        <v>31</v>
      </c>
      <c r="C2" s="5" t="s">
        <v>32</v>
      </c>
      <c r="D2" s="5" t="s">
        <v>33</v>
      </c>
      <c r="E2" s="6" t="s">
        <v>34</v>
      </c>
      <c r="F2" s="5" t="s">
        <v>35</v>
      </c>
      <c r="G2" s="5" t="s">
        <v>36</v>
      </c>
      <c r="H2" s="5" t="s">
        <v>37</v>
      </c>
      <c r="I2" s="6" t="s">
        <v>38</v>
      </c>
      <c r="J2" s="7" t="n">
        <v>5</v>
      </c>
      <c r="K2" s="7" t="n">
        <v>4</v>
      </c>
      <c r="L2" s="7" t="n">
        <v>5</v>
      </c>
      <c r="M2" s="8" t="n">
        <f aca="false">IF(COUNT(J2:L2)=3,ROUND(AVERAGE(J2:L2),1),"")</f>
        <v>4.7</v>
      </c>
      <c r="N2" s="7"/>
      <c r="O2" s="6" t="s">
        <v>39</v>
      </c>
      <c r="P2" s="6" t="s">
        <v>40</v>
      </c>
    </row>
    <row r="3" customFormat="false" ht="79.85" hidden="false" customHeight="false" outlineLevel="0" collapsed="false">
      <c r="A3" s="5" t="s">
        <v>30</v>
      </c>
      <c r="B3" s="5" t="s">
        <v>31</v>
      </c>
      <c r="C3" s="5" t="s">
        <v>32</v>
      </c>
      <c r="D3" s="5" t="s">
        <v>41</v>
      </c>
      <c r="E3" s="6" t="s">
        <v>42</v>
      </c>
      <c r="F3" s="5" t="s">
        <v>43</v>
      </c>
      <c r="G3" s="5" t="s">
        <v>44</v>
      </c>
      <c r="H3" s="5" t="s">
        <v>45</v>
      </c>
      <c r="I3" s="6" t="s">
        <v>46</v>
      </c>
      <c r="J3" s="7" t="n">
        <v>5</v>
      </c>
      <c r="K3" s="7" t="n">
        <v>5</v>
      </c>
      <c r="L3" s="7" t="n">
        <v>5</v>
      </c>
      <c r="M3" s="8" t="n">
        <f aca="false">IF(COUNT(J3:L3)=3,ROUND(AVERAGE(J3:L3),1),"")</f>
        <v>5</v>
      </c>
      <c r="N3" s="7"/>
      <c r="O3" s="6" t="s">
        <v>47</v>
      </c>
      <c r="P3" s="6" t="s">
        <v>48</v>
      </c>
    </row>
    <row r="4" customFormat="false" ht="236.55" hidden="false" customHeight="false" outlineLevel="0" collapsed="false">
      <c r="A4" s="5" t="s">
        <v>30</v>
      </c>
      <c r="B4" s="5" t="s">
        <v>31</v>
      </c>
      <c r="C4" s="5" t="s">
        <v>32</v>
      </c>
      <c r="D4" s="5" t="s">
        <v>49</v>
      </c>
      <c r="E4" s="6" t="s">
        <v>50</v>
      </c>
      <c r="F4" s="5" t="s">
        <v>51</v>
      </c>
      <c r="G4" s="5" t="s">
        <v>52</v>
      </c>
      <c r="H4" s="5" t="s">
        <v>53</v>
      </c>
      <c r="I4" s="6" t="s">
        <v>54</v>
      </c>
      <c r="J4" s="7" t="n">
        <v>5</v>
      </c>
      <c r="K4" s="7" t="n">
        <v>5</v>
      </c>
      <c r="L4" s="7" t="n">
        <v>5</v>
      </c>
      <c r="M4" s="8" t="n">
        <f aca="false">IF(COUNT(J4:L4)=3,ROUND(AVERAGE(J4:L4),1),"")</f>
        <v>5</v>
      </c>
      <c r="N4" s="7"/>
      <c r="O4" s="6" t="s">
        <v>55</v>
      </c>
      <c r="P4" s="6" t="s">
        <v>56</v>
      </c>
    </row>
    <row r="5" customFormat="false" ht="127.6" hidden="false" customHeight="false" outlineLevel="0" collapsed="false">
      <c r="A5" s="5" t="s">
        <v>57</v>
      </c>
      <c r="B5" s="5" t="s">
        <v>31</v>
      </c>
      <c r="C5" s="5" t="s">
        <v>58</v>
      </c>
      <c r="D5" s="5" t="s">
        <v>33</v>
      </c>
      <c r="E5" s="6" t="s">
        <v>34</v>
      </c>
      <c r="F5" s="5" t="s">
        <v>35</v>
      </c>
      <c r="G5" s="5" t="s">
        <v>36</v>
      </c>
      <c r="H5" s="5" t="s">
        <v>59</v>
      </c>
      <c r="I5" s="6" t="s">
        <v>60</v>
      </c>
      <c r="J5" s="7" t="n">
        <v>5</v>
      </c>
      <c r="K5" s="7" t="n">
        <v>4</v>
      </c>
      <c r="L5" s="7" t="n">
        <v>4</v>
      </c>
      <c r="M5" s="8" t="n">
        <f aca="false">IF(COUNT(J5:L5)=3,ROUND(AVERAGE(J5:L5),1),"")</f>
        <v>4.3</v>
      </c>
      <c r="N5" s="7"/>
      <c r="O5" s="6" t="s">
        <v>61</v>
      </c>
      <c r="P5" s="6" t="s">
        <v>62</v>
      </c>
    </row>
    <row r="6" customFormat="false" ht="102.2" hidden="false" customHeight="false" outlineLevel="0" collapsed="false">
      <c r="A6" s="5" t="s">
        <v>57</v>
      </c>
      <c r="B6" s="5" t="s">
        <v>31</v>
      </c>
      <c r="C6" s="5" t="s">
        <v>58</v>
      </c>
      <c r="D6" s="5" t="s">
        <v>41</v>
      </c>
      <c r="E6" s="6" t="s">
        <v>42</v>
      </c>
      <c r="F6" s="5" t="s">
        <v>43</v>
      </c>
      <c r="G6" s="5" t="s">
        <v>63</v>
      </c>
      <c r="H6" s="5" t="s">
        <v>64</v>
      </c>
      <c r="I6" s="6" t="s">
        <v>65</v>
      </c>
      <c r="J6" s="7" t="n">
        <v>5</v>
      </c>
      <c r="K6" s="7" t="n">
        <v>5</v>
      </c>
      <c r="L6" s="7" t="n">
        <v>5</v>
      </c>
      <c r="M6" s="8" t="n">
        <f aca="false">IF(COUNT(J6:L6)=3,ROUND(AVERAGE(J6:L6),1),"")</f>
        <v>5</v>
      </c>
      <c r="N6" s="7"/>
      <c r="O6" s="6" t="s">
        <v>66</v>
      </c>
      <c r="P6" s="6" t="s">
        <v>67</v>
      </c>
    </row>
    <row r="7" customFormat="false" ht="169.4" hidden="false" customHeight="false" outlineLevel="0" collapsed="false">
      <c r="A7" s="5" t="s">
        <v>57</v>
      </c>
      <c r="B7" s="5" t="s">
        <v>31</v>
      </c>
      <c r="C7" s="5" t="s">
        <v>58</v>
      </c>
      <c r="D7" s="5" t="s">
        <v>49</v>
      </c>
      <c r="E7" s="6" t="s">
        <v>50</v>
      </c>
      <c r="F7" s="5" t="s">
        <v>51</v>
      </c>
      <c r="G7" s="5" t="s">
        <v>68</v>
      </c>
      <c r="H7" s="5" t="s">
        <v>69</v>
      </c>
      <c r="I7" s="6" t="s">
        <v>70</v>
      </c>
      <c r="J7" s="7" t="n">
        <v>5</v>
      </c>
      <c r="K7" s="7" t="n">
        <v>5</v>
      </c>
      <c r="L7" s="7" t="n">
        <v>5</v>
      </c>
      <c r="M7" s="8" t="n">
        <f aca="false">IF(COUNT(J7:L7)=3,ROUND(AVERAGE(J7:L7),1),"")</f>
        <v>5</v>
      </c>
      <c r="N7" s="7"/>
      <c r="O7" s="6" t="s">
        <v>71</v>
      </c>
      <c r="P7" s="6" t="s">
        <v>72</v>
      </c>
    </row>
    <row r="8" customFormat="false" ht="68.65" hidden="false" customHeight="false" outlineLevel="0" collapsed="false">
      <c r="A8" s="5" t="s">
        <v>73</v>
      </c>
      <c r="B8" s="5" t="s">
        <v>31</v>
      </c>
      <c r="C8" s="5" t="s">
        <v>74</v>
      </c>
      <c r="D8" s="5" t="s">
        <v>33</v>
      </c>
      <c r="E8" s="6" t="s">
        <v>34</v>
      </c>
      <c r="F8" s="5" t="s">
        <v>35</v>
      </c>
      <c r="G8" s="5" t="s">
        <v>36</v>
      </c>
      <c r="H8" s="5" t="s">
        <v>75</v>
      </c>
      <c r="I8" s="6" t="s">
        <v>76</v>
      </c>
      <c r="J8" s="7" t="n">
        <v>3</v>
      </c>
      <c r="K8" s="7" t="n">
        <v>4</v>
      </c>
      <c r="L8" s="7" t="n">
        <v>4</v>
      </c>
      <c r="M8" s="8" t="n">
        <f aca="false">IF(COUNT(J8:L8)=3,ROUND(AVERAGE(J8:L8),1),"")</f>
        <v>3.7</v>
      </c>
      <c r="N8" s="7"/>
      <c r="O8" s="6" t="s">
        <v>77</v>
      </c>
      <c r="P8" s="6" t="s">
        <v>78</v>
      </c>
    </row>
    <row r="9" customFormat="false" ht="91" hidden="false" customHeight="false" outlineLevel="0" collapsed="false">
      <c r="A9" s="5" t="s">
        <v>73</v>
      </c>
      <c r="B9" s="5" t="s">
        <v>31</v>
      </c>
      <c r="C9" s="5" t="s">
        <v>74</v>
      </c>
      <c r="D9" s="5" t="s">
        <v>41</v>
      </c>
      <c r="E9" s="6" t="s">
        <v>42</v>
      </c>
      <c r="F9" s="5" t="s">
        <v>43</v>
      </c>
      <c r="G9" s="5" t="s">
        <v>79</v>
      </c>
      <c r="H9" s="5" t="s">
        <v>80</v>
      </c>
      <c r="I9" s="6" t="s">
        <v>81</v>
      </c>
      <c r="J9" s="7" t="n">
        <v>4</v>
      </c>
      <c r="K9" s="7" t="n">
        <v>5</v>
      </c>
      <c r="L9" s="7" t="n">
        <v>5</v>
      </c>
      <c r="M9" s="8" t="n">
        <f aca="false">IF(COUNT(J9:L9)=3,ROUND(AVERAGE(J9:L9),1),"")</f>
        <v>4.7</v>
      </c>
      <c r="N9" s="7"/>
      <c r="O9" s="6" t="s">
        <v>82</v>
      </c>
      <c r="P9" s="6" t="s">
        <v>83</v>
      </c>
    </row>
    <row r="10" customFormat="false" ht="158.2" hidden="false" customHeight="false" outlineLevel="0" collapsed="false">
      <c r="A10" s="5" t="s">
        <v>73</v>
      </c>
      <c r="B10" s="5" t="s">
        <v>31</v>
      </c>
      <c r="C10" s="5" t="s">
        <v>74</v>
      </c>
      <c r="D10" s="5" t="s">
        <v>49</v>
      </c>
      <c r="E10" s="6" t="s">
        <v>50</v>
      </c>
      <c r="F10" s="5" t="s">
        <v>51</v>
      </c>
      <c r="G10" s="5" t="s">
        <v>84</v>
      </c>
      <c r="H10" s="5" t="s">
        <v>85</v>
      </c>
      <c r="I10" s="6" t="s">
        <v>86</v>
      </c>
      <c r="J10" s="7" t="n">
        <v>5</v>
      </c>
      <c r="K10" s="7" t="n">
        <v>5</v>
      </c>
      <c r="L10" s="7" t="n">
        <v>5</v>
      </c>
      <c r="M10" s="8" t="n">
        <f aca="false">IF(COUNT(J10:L10)=3,ROUND(AVERAGE(J10:L10),1),"")</f>
        <v>5</v>
      </c>
      <c r="N10" s="7"/>
      <c r="O10" s="6" t="s">
        <v>87</v>
      </c>
      <c r="P10" s="6" t="s">
        <v>88</v>
      </c>
    </row>
    <row r="11" customFormat="false" ht="147" hidden="false" customHeight="false" outlineLevel="0" collapsed="false">
      <c r="A11" s="5" t="s">
        <v>89</v>
      </c>
      <c r="B11" s="5" t="s">
        <v>90</v>
      </c>
      <c r="C11" s="5" t="s">
        <v>91</v>
      </c>
      <c r="D11" s="5" t="s">
        <v>33</v>
      </c>
      <c r="E11" s="6" t="s">
        <v>34</v>
      </c>
      <c r="F11" s="5" t="s">
        <v>35</v>
      </c>
      <c r="G11" s="5" t="s">
        <v>36</v>
      </c>
      <c r="H11" s="5" t="s">
        <v>92</v>
      </c>
      <c r="I11" s="6" t="s">
        <v>93</v>
      </c>
      <c r="J11" s="7" t="n">
        <v>5</v>
      </c>
      <c r="K11" s="7" t="n">
        <v>3</v>
      </c>
      <c r="L11" s="7" t="n">
        <v>5</v>
      </c>
      <c r="M11" s="8" t="n">
        <f aca="false">IF(COUNT(J11:L11)=3,ROUND(AVERAGE(J11:L11),1),"")</f>
        <v>4.3</v>
      </c>
      <c r="N11" s="7"/>
      <c r="O11" s="6" t="s">
        <v>94</v>
      </c>
      <c r="P11" s="6" t="s">
        <v>95</v>
      </c>
    </row>
    <row r="12" customFormat="false" ht="180.55" hidden="false" customHeight="false" outlineLevel="0" collapsed="false">
      <c r="A12" s="5" t="s">
        <v>89</v>
      </c>
      <c r="B12" s="5" t="s">
        <v>90</v>
      </c>
      <c r="C12" s="5" t="s">
        <v>91</v>
      </c>
      <c r="D12" s="5" t="s">
        <v>41</v>
      </c>
      <c r="E12" s="6" t="s">
        <v>42</v>
      </c>
      <c r="F12" s="5" t="s">
        <v>43</v>
      </c>
      <c r="G12" s="5" t="s">
        <v>96</v>
      </c>
      <c r="H12" s="5" t="s">
        <v>97</v>
      </c>
      <c r="I12" s="6" t="s">
        <v>98</v>
      </c>
      <c r="J12" s="7" t="n">
        <v>5</v>
      </c>
      <c r="K12" s="7" t="n">
        <v>4</v>
      </c>
      <c r="L12" s="7" t="n">
        <v>5</v>
      </c>
      <c r="M12" s="8" t="n">
        <f aca="false">IF(COUNT(J12:L12)=3,ROUND(AVERAGE(J12:L12),1),"")</f>
        <v>4.7</v>
      </c>
      <c r="N12" s="7"/>
      <c r="O12" s="6" t="s">
        <v>99</v>
      </c>
      <c r="P12" s="6" t="s">
        <v>100</v>
      </c>
    </row>
    <row r="13" customFormat="false" ht="337.3" hidden="false" customHeight="false" outlineLevel="0" collapsed="false">
      <c r="A13" s="5" t="s">
        <v>89</v>
      </c>
      <c r="B13" s="5" t="s">
        <v>90</v>
      </c>
      <c r="C13" s="5" t="s">
        <v>91</v>
      </c>
      <c r="D13" s="5" t="s">
        <v>49</v>
      </c>
      <c r="E13" s="6" t="s">
        <v>50</v>
      </c>
      <c r="F13" s="5" t="s">
        <v>51</v>
      </c>
      <c r="G13" s="5" t="s">
        <v>101</v>
      </c>
      <c r="H13" s="5" t="s">
        <v>102</v>
      </c>
      <c r="I13" s="6" t="s">
        <v>103</v>
      </c>
      <c r="J13" s="7" t="n">
        <v>5</v>
      </c>
      <c r="K13" s="7" t="n">
        <v>5</v>
      </c>
      <c r="L13" s="7" t="n">
        <v>5</v>
      </c>
      <c r="M13" s="8" t="n">
        <f aca="false">IF(COUNT(J13:L13)=3,ROUND(AVERAGE(J13:L13),1),"")</f>
        <v>5</v>
      </c>
      <c r="N13" s="7"/>
      <c r="O13" s="6" t="s">
        <v>104</v>
      </c>
      <c r="P13" s="6" t="s">
        <v>88</v>
      </c>
    </row>
    <row r="14" customFormat="false" ht="91" hidden="false" customHeight="false" outlineLevel="0" collapsed="false">
      <c r="A14" s="5" t="s">
        <v>105</v>
      </c>
      <c r="B14" s="5" t="s">
        <v>90</v>
      </c>
      <c r="C14" s="5" t="s">
        <v>106</v>
      </c>
      <c r="D14" s="5" t="s">
        <v>33</v>
      </c>
      <c r="E14" s="6" t="s">
        <v>34</v>
      </c>
      <c r="F14" s="5" t="s">
        <v>35</v>
      </c>
      <c r="G14" s="5" t="s">
        <v>36</v>
      </c>
      <c r="H14" s="5" t="s">
        <v>107</v>
      </c>
      <c r="I14" s="6" t="s">
        <v>108</v>
      </c>
      <c r="J14" s="7" t="n">
        <v>5</v>
      </c>
      <c r="K14" s="7" t="n">
        <v>3</v>
      </c>
      <c r="L14" s="7" t="n">
        <v>5</v>
      </c>
      <c r="M14" s="8" t="n">
        <f aca="false">IF(COUNT(J14:L14)=3,ROUND(AVERAGE(J14:L14),1),"")</f>
        <v>4.3</v>
      </c>
      <c r="N14" s="7"/>
      <c r="O14" s="6" t="s">
        <v>109</v>
      </c>
      <c r="P14" s="6" t="s">
        <v>110</v>
      </c>
    </row>
    <row r="15" customFormat="false" ht="102.2" hidden="false" customHeight="false" outlineLevel="0" collapsed="false">
      <c r="A15" s="5" t="s">
        <v>105</v>
      </c>
      <c r="B15" s="5" t="s">
        <v>90</v>
      </c>
      <c r="C15" s="5" t="s">
        <v>106</v>
      </c>
      <c r="D15" s="5" t="s">
        <v>41</v>
      </c>
      <c r="E15" s="6" t="s">
        <v>42</v>
      </c>
      <c r="F15" s="5" t="s">
        <v>43</v>
      </c>
      <c r="G15" s="5" t="s">
        <v>111</v>
      </c>
      <c r="H15" s="5" t="s">
        <v>112</v>
      </c>
      <c r="I15" s="6" t="s">
        <v>113</v>
      </c>
      <c r="J15" s="7" t="n">
        <v>5</v>
      </c>
      <c r="K15" s="7" t="n">
        <v>4</v>
      </c>
      <c r="L15" s="7" t="n">
        <v>5</v>
      </c>
      <c r="M15" s="8" t="n">
        <f aca="false">IF(COUNT(J15:L15)=3,ROUND(AVERAGE(J15:L15),1),"")</f>
        <v>4.7</v>
      </c>
      <c r="N15" s="7"/>
      <c r="O15" s="6" t="s">
        <v>114</v>
      </c>
      <c r="P15" s="6" t="s">
        <v>115</v>
      </c>
    </row>
    <row r="16" customFormat="false" ht="214.15" hidden="false" customHeight="false" outlineLevel="0" collapsed="false">
      <c r="A16" s="5" t="s">
        <v>105</v>
      </c>
      <c r="B16" s="5" t="s">
        <v>90</v>
      </c>
      <c r="C16" s="5" t="s">
        <v>106</v>
      </c>
      <c r="D16" s="5" t="s">
        <v>49</v>
      </c>
      <c r="E16" s="6" t="s">
        <v>50</v>
      </c>
      <c r="F16" s="5" t="s">
        <v>51</v>
      </c>
      <c r="G16" s="5" t="s">
        <v>116</v>
      </c>
      <c r="H16" s="5" t="s">
        <v>117</v>
      </c>
      <c r="I16" s="6" t="s">
        <v>118</v>
      </c>
      <c r="J16" s="7" t="n">
        <v>5</v>
      </c>
      <c r="K16" s="7" t="n">
        <v>5</v>
      </c>
      <c r="L16" s="7" t="n">
        <v>5</v>
      </c>
      <c r="M16" s="8" t="n">
        <f aca="false">IF(COUNT(J16:L16)=3,ROUND(AVERAGE(J16:L16),1),"")</f>
        <v>5</v>
      </c>
      <c r="N16" s="7"/>
      <c r="O16" s="6" t="s">
        <v>119</v>
      </c>
      <c r="P16" s="6" t="s">
        <v>88</v>
      </c>
    </row>
    <row r="17" customFormat="false" ht="113.4" hidden="false" customHeight="false" outlineLevel="0" collapsed="false">
      <c r="A17" s="5" t="s">
        <v>120</v>
      </c>
      <c r="B17" s="5" t="s">
        <v>90</v>
      </c>
      <c r="C17" s="5" t="s">
        <v>121</v>
      </c>
      <c r="D17" s="5" t="s">
        <v>33</v>
      </c>
      <c r="E17" s="6" t="s">
        <v>34</v>
      </c>
      <c r="F17" s="5" t="s">
        <v>35</v>
      </c>
      <c r="G17" s="5" t="s">
        <v>36</v>
      </c>
      <c r="H17" s="5" t="s">
        <v>122</v>
      </c>
      <c r="I17" s="6" t="s">
        <v>123</v>
      </c>
      <c r="J17" s="7" t="n">
        <v>4</v>
      </c>
      <c r="K17" s="7" t="n">
        <v>3</v>
      </c>
      <c r="L17" s="7" t="n">
        <v>4</v>
      </c>
      <c r="M17" s="8" t="n">
        <f aca="false">IF(COUNT(J17:L17)=3,ROUND(AVERAGE(J17:L17),1),"")</f>
        <v>3.7</v>
      </c>
      <c r="N17" s="7" t="s">
        <v>124</v>
      </c>
      <c r="O17" s="6" t="s">
        <v>125</v>
      </c>
      <c r="P17" s="6" t="s">
        <v>126</v>
      </c>
    </row>
    <row r="18" customFormat="false" ht="91" hidden="false" customHeight="false" outlineLevel="0" collapsed="false">
      <c r="A18" s="5" t="s">
        <v>120</v>
      </c>
      <c r="B18" s="5" t="s">
        <v>90</v>
      </c>
      <c r="C18" s="5" t="s">
        <v>121</v>
      </c>
      <c r="D18" s="5" t="s">
        <v>41</v>
      </c>
      <c r="E18" s="6" t="s">
        <v>42</v>
      </c>
      <c r="F18" s="5" t="s">
        <v>43</v>
      </c>
      <c r="G18" s="5" t="s">
        <v>96</v>
      </c>
      <c r="H18" s="5" t="s">
        <v>127</v>
      </c>
      <c r="I18" s="6" t="s">
        <v>128</v>
      </c>
      <c r="J18" s="7" t="n">
        <v>5</v>
      </c>
      <c r="K18" s="7" t="n">
        <v>5</v>
      </c>
      <c r="L18" s="7" t="n">
        <v>5</v>
      </c>
      <c r="M18" s="8" t="n">
        <f aca="false">IF(COUNT(J18:L18)=3,ROUND(AVERAGE(J18:L18),1),"")</f>
        <v>5</v>
      </c>
      <c r="N18" s="7"/>
      <c r="O18" s="6" t="s">
        <v>129</v>
      </c>
      <c r="P18" s="6" t="s">
        <v>130</v>
      </c>
    </row>
    <row r="19" customFormat="false" ht="180.55" hidden="false" customHeight="false" outlineLevel="0" collapsed="false">
      <c r="A19" s="5" t="s">
        <v>120</v>
      </c>
      <c r="B19" s="5" t="s">
        <v>90</v>
      </c>
      <c r="C19" s="5" t="s">
        <v>121</v>
      </c>
      <c r="D19" s="5" t="s">
        <v>49</v>
      </c>
      <c r="E19" s="6" t="s">
        <v>50</v>
      </c>
      <c r="F19" s="5" t="s">
        <v>51</v>
      </c>
      <c r="G19" s="5" t="s">
        <v>131</v>
      </c>
      <c r="H19" s="5" t="s">
        <v>132</v>
      </c>
      <c r="I19" s="6" t="s">
        <v>133</v>
      </c>
      <c r="J19" s="7" t="n">
        <v>5</v>
      </c>
      <c r="K19" s="7" t="n">
        <v>5</v>
      </c>
      <c r="L19" s="7" t="n">
        <v>5</v>
      </c>
      <c r="M19" s="8" t="n">
        <f aca="false">IF(COUNT(J19:L19)=3,ROUND(AVERAGE(J19:L19),1),"")</f>
        <v>5</v>
      </c>
      <c r="N19" s="7"/>
      <c r="O19" s="6" t="s">
        <v>134</v>
      </c>
      <c r="P19" s="6" t="s">
        <v>88</v>
      </c>
    </row>
    <row r="20" customFormat="false" ht="236.55" hidden="false" customHeight="false" outlineLevel="0" collapsed="false">
      <c r="A20" s="5" t="s">
        <v>135</v>
      </c>
      <c r="B20" s="5" t="s">
        <v>136</v>
      </c>
      <c r="C20" s="5" t="s">
        <v>137</v>
      </c>
      <c r="D20" s="5" t="s">
        <v>33</v>
      </c>
      <c r="E20" s="9" t="s">
        <v>138</v>
      </c>
      <c r="F20" s="5"/>
      <c r="G20" s="5" t="s">
        <v>36</v>
      </c>
      <c r="H20" s="5" t="s">
        <v>139</v>
      </c>
      <c r="I20" s="10"/>
      <c r="J20" s="11"/>
      <c r="K20" s="11"/>
      <c r="L20" s="11"/>
      <c r="M20" s="8" t="str">
        <f aca="false">IF(COUNT(J20:L20)=3,ROUND(AVERAGE(J20:L20),1),"")</f>
        <v/>
      </c>
      <c r="N20" s="11"/>
      <c r="O20" s="10" t="s">
        <v>140</v>
      </c>
      <c r="P20" s="10"/>
    </row>
    <row r="21" customFormat="false" ht="247.75" hidden="false" customHeight="false" outlineLevel="0" collapsed="false">
      <c r="A21" s="5" t="s">
        <v>135</v>
      </c>
      <c r="B21" s="5" t="s">
        <v>136</v>
      </c>
      <c r="C21" s="5" t="s">
        <v>137</v>
      </c>
      <c r="D21" s="5" t="s">
        <v>41</v>
      </c>
      <c r="E21" s="9" t="s">
        <v>138</v>
      </c>
      <c r="F21" s="5"/>
      <c r="G21" s="5" t="s">
        <v>141</v>
      </c>
      <c r="H21" s="5" t="s">
        <v>142</v>
      </c>
      <c r="I21" s="10"/>
      <c r="J21" s="11"/>
      <c r="K21" s="11"/>
      <c r="L21" s="11"/>
      <c r="M21" s="8" t="str">
        <f aca="false">IF(COUNT(J21:L21)=3,ROUND(AVERAGE(J21:L21),1),"")</f>
        <v/>
      </c>
      <c r="N21" s="11"/>
      <c r="O21" s="10" t="s">
        <v>143</v>
      </c>
      <c r="P21" s="10"/>
    </row>
    <row r="22" customFormat="false" ht="348.5" hidden="false" customHeight="false" outlineLevel="0" collapsed="false">
      <c r="A22" s="5" t="s">
        <v>135</v>
      </c>
      <c r="B22" s="5" t="s">
        <v>136</v>
      </c>
      <c r="C22" s="5" t="s">
        <v>137</v>
      </c>
      <c r="D22" s="5" t="s">
        <v>49</v>
      </c>
      <c r="E22" s="9" t="s">
        <v>138</v>
      </c>
      <c r="F22" s="5"/>
      <c r="G22" s="5" t="s">
        <v>144</v>
      </c>
      <c r="H22" s="5" t="s">
        <v>145</v>
      </c>
      <c r="I22" s="10"/>
      <c r="J22" s="11"/>
      <c r="K22" s="11"/>
      <c r="L22" s="11"/>
      <c r="M22" s="8" t="str">
        <f aca="false">IF(COUNT(J22:L22)=3,ROUND(AVERAGE(J22:L22),1),"")</f>
        <v/>
      </c>
      <c r="N22" s="11"/>
      <c r="O22" s="10" t="s">
        <v>143</v>
      </c>
      <c r="P22" s="10"/>
    </row>
    <row r="23" customFormat="false" ht="124.6" hidden="false" customHeight="false" outlineLevel="0" collapsed="false">
      <c r="A23" s="5" t="s">
        <v>146</v>
      </c>
      <c r="B23" s="5" t="s">
        <v>136</v>
      </c>
      <c r="C23" s="5" t="s">
        <v>147</v>
      </c>
      <c r="D23" s="5" t="s">
        <v>33</v>
      </c>
      <c r="E23" s="6" t="s">
        <v>34</v>
      </c>
      <c r="F23" s="5" t="s">
        <v>35</v>
      </c>
      <c r="G23" s="5" t="s">
        <v>36</v>
      </c>
      <c r="H23" s="5" t="s">
        <v>148</v>
      </c>
      <c r="I23" s="6" t="s">
        <v>149</v>
      </c>
      <c r="J23" s="7" t="n">
        <v>5</v>
      </c>
      <c r="K23" s="7" t="n">
        <v>2</v>
      </c>
      <c r="L23" s="7" t="n">
        <v>5</v>
      </c>
      <c r="M23" s="8" t="n">
        <f aca="false">IF(COUNT(J23:L23)=3,ROUND(AVERAGE(J23:L23),1),"")</f>
        <v>4</v>
      </c>
      <c r="N23" s="7"/>
      <c r="O23" s="6" t="s">
        <v>150</v>
      </c>
      <c r="P23" s="6" t="s">
        <v>151</v>
      </c>
    </row>
    <row r="24" customFormat="false" ht="135.8" hidden="false" customHeight="false" outlineLevel="0" collapsed="false">
      <c r="A24" s="5" t="s">
        <v>146</v>
      </c>
      <c r="B24" s="5" t="s">
        <v>136</v>
      </c>
      <c r="C24" s="5" t="s">
        <v>147</v>
      </c>
      <c r="D24" s="5" t="s">
        <v>41</v>
      </c>
      <c r="E24" s="6" t="s">
        <v>42</v>
      </c>
      <c r="F24" s="5" t="s">
        <v>43</v>
      </c>
      <c r="G24" s="5" t="s">
        <v>152</v>
      </c>
      <c r="H24" s="5" t="s">
        <v>153</v>
      </c>
      <c r="I24" s="6" t="s">
        <v>154</v>
      </c>
      <c r="J24" s="7" t="n">
        <v>4</v>
      </c>
      <c r="K24" s="7" t="n">
        <v>5</v>
      </c>
      <c r="L24" s="7" t="n">
        <v>3</v>
      </c>
      <c r="M24" s="8" t="n">
        <f aca="false">IF(COUNT(J24:L24)=3,ROUND(AVERAGE(J24:L24),1),"")</f>
        <v>4</v>
      </c>
      <c r="N24" s="7"/>
      <c r="O24" s="6" t="s">
        <v>155</v>
      </c>
      <c r="P24" s="6" t="s">
        <v>156</v>
      </c>
    </row>
    <row r="25" customFormat="false" ht="225.35" hidden="false" customHeight="false" outlineLevel="0" collapsed="false">
      <c r="A25" s="5" t="s">
        <v>146</v>
      </c>
      <c r="B25" s="5" t="s">
        <v>136</v>
      </c>
      <c r="C25" s="5" t="s">
        <v>147</v>
      </c>
      <c r="D25" s="5" t="s">
        <v>49</v>
      </c>
      <c r="E25" s="6" t="s">
        <v>50</v>
      </c>
      <c r="F25" s="5" t="s">
        <v>51</v>
      </c>
      <c r="G25" s="5" t="s">
        <v>157</v>
      </c>
      <c r="H25" s="5" t="s">
        <v>158</v>
      </c>
      <c r="I25" s="6" t="s">
        <v>159</v>
      </c>
      <c r="J25" s="7" t="n">
        <v>4</v>
      </c>
      <c r="K25" s="7" t="n">
        <v>5</v>
      </c>
      <c r="L25" s="7" t="n">
        <v>5</v>
      </c>
      <c r="M25" s="8" t="n">
        <f aca="false">IF(COUNT(J25:L25)=3,ROUND(AVERAGE(J25:L25),1),"")</f>
        <v>4.7</v>
      </c>
      <c r="N25" s="7"/>
      <c r="O25" s="6" t="s">
        <v>160</v>
      </c>
      <c r="P25" s="6" t="s">
        <v>161</v>
      </c>
    </row>
    <row r="26" customFormat="false" ht="91" hidden="false" customHeight="false" outlineLevel="0" collapsed="false">
      <c r="A26" s="5" t="s">
        <v>162</v>
      </c>
      <c r="B26" s="5" t="s">
        <v>163</v>
      </c>
      <c r="C26" s="5" t="s">
        <v>164</v>
      </c>
      <c r="D26" s="5" t="s">
        <v>33</v>
      </c>
      <c r="E26" s="6" t="s">
        <v>34</v>
      </c>
      <c r="F26" s="5" t="s">
        <v>35</v>
      </c>
      <c r="G26" s="5" t="s">
        <v>36</v>
      </c>
      <c r="H26" s="5" t="s">
        <v>165</v>
      </c>
      <c r="I26" s="6" t="s">
        <v>166</v>
      </c>
      <c r="J26" s="7" t="n">
        <v>4</v>
      </c>
      <c r="K26" s="7" t="n">
        <v>4</v>
      </c>
      <c r="L26" s="7" t="n">
        <v>3</v>
      </c>
      <c r="M26" s="8" t="n">
        <f aca="false">IF(COUNT(J26:L26)=3,ROUND(AVERAGE(J26:L26),1),"")</f>
        <v>3.7</v>
      </c>
      <c r="N26" s="7"/>
      <c r="O26" s="6" t="s">
        <v>167</v>
      </c>
      <c r="P26" s="6" t="s">
        <v>168</v>
      </c>
    </row>
    <row r="27" customFormat="false" ht="79.85" hidden="false" customHeight="false" outlineLevel="0" collapsed="false">
      <c r="A27" s="5" t="s">
        <v>162</v>
      </c>
      <c r="B27" s="5" t="s">
        <v>163</v>
      </c>
      <c r="C27" s="5" t="s">
        <v>164</v>
      </c>
      <c r="D27" s="5" t="s">
        <v>41</v>
      </c>
      <c r="E27" s="6" t="s">
        <v>42</v>
      </c>
      <c r="F27" s="5" t="s">
        <v>43</v>
      </c>
      <c r="G27" s="5" t="s">
        <v>169</v>
      </c>
      <c r="H27" s="5" t="s">
        <v>170</v>
      </c>
      <c r="I27" s="6" t="s">
        <v>171</v>
      </c>
      <c r="J27" s="7" t="n">
        <v>4</v>
      </c>
      <c r="K27" s="7" t="n">
        <v>5</v>
      </c>
      <c r="L27" s="7" t="n">
        <v>3</v>
      </c>
      <c r="M27" s="8" t="n">
        <f aca="false">IF(COUNT(J27:L27)=3,ROUND(AVERAGE(J27:L27),1),"")</f>
        <v>4</v>
      </c>
      <c r="N27" s="7"/>
      <c r="O27" s="6" t="s">
        <v>172</v>
      </c>
      <c r="P27" s="6" t="s">
        <v>173</v>
      </c>
    </row>
    <row r="28" customFormat="false" ht="191.75" hidden="false" customHeight="false" outlineLevel="0" collapsed="false">
      <c r="A28" s="5" t="s">
        <v>162</v>
      </c>
      <c r="B28" s="5" t="s">
        <v>163</v>
      </c>
      <c r="C28" s="5" t="s">
        <v>164</v>
      </c>
      <c r="D28" s="5" t="s">
        <v>49</v>
      </c>
      <c r="E28" s="6" t="s">
        <v>50</v>
      </c>
      <c r="F28" s="5" t="s">
        <v>51</v>
      </c>
      <c r="G28" s="5" t="s">
        <v>174</v>
      </c>
      <c r="H28" s="5" t="s">
        <v>175</v>
      </c>
      <c r="I28" s="6" t="s">
        <v>176</v>
      </c>
      <c r="J28" s="7" t="n">
        <v>5</v>
      </c>
      <c r="K28" s="7" t="n">
        <v>5</v>
      </c>
      <c r="L28" s="7" t="n">
        <v>5</v>
      </c>
      <c r="M28" s="8" t="n">
        <f aca="false">IF(COUNT(J28:L28)=3,ROUND(AVERAGE(J28:L28),1),"")</f>
        <v>5</v>
      </c>
      <c r="N28" s="7"/>
      <c r="O28" s="6" t="s">
        <v>177</v>
      </c>
      <c r="P28" s="6" t="s">
        <v>178</v>
      </c>
    </row>
    <row r="29" customFormat="false" ht="79.85" hidden="false" customHeight="false" outlineLevel="0" collapsed="false">
      <c r="A29" s="5" t="s">
        <v>179</v>
      </c>
      <c r="B29" s="5" t="s">
        <v>163</v>
      </c>
      <c r="C29" s="5" t="s">
        <v>180</v>
      </c>
      <c r="D29" s="5" t="s">
        <v>33</v>
      </c>
      <c r="E29" s="6" t="s">
        <v>34</v>
      </c>
      <c r="F29" s="5" t="s">
        <v>35</v>
      </c>
      <c r="G29" s="5" t="s">
        <v>36</v>
      </c>
      <c r="H29" s="5" t="s">
        <v>181</v>
      </c>
      <c r="I29" s="6" t="s">
        <v>182</v>
      </c>
      <c r="J29" s="7" t="n">
        <v>4</v>
      </c>
      <c r="K29" s="7" t="n">
        <v>3</v>
      </c>
      <c r="L29" s="7" t="n">
        <v>5</v>
      </c>
      <c r="M29" s="8" t="n">
        <f aca="false">IF(COUNT(J29:L29)=3,ROUND(AVERAGE(J29:L29),1),"")</f>
        <v>4</v>
      </c>
      <c r="N29" s="7"/>
      <c r="O29" s="6" t="s">
        <v>183</v>
      </c>
      <c r="P29" s="6" t="s">
        <v>184</v>
      </c>
    </row>
    <row r="30" customFormat="false" ht="102.2" hidden="false" customHeight="false" outlineLevel="0" collapsed="false">
      <c r="A30" s="5" t="s">
        <v>179</v>
      </c>
      <c r="B30" s="5" t="s">
        <v>163</v>
      </c>
      <c r="C30" s="5" t="s">
        <v>180</v>
      </c>
      <c r="D30" s="5" t="s">
        <v>41</v>
      </c>
      <c r="E30" s="6" t="s">
        <v>42</v>
      </c>
      <c r="F30" s="5" t="s">
        <v>43</v>
      </c>
      <c r="G30" s="5" t="s">
        <v>185</v>
      </c>
      <c r="H30" s="5" t="s">
        <v>186</v>
      </c>
      <c r="I30" s="6" t="s">
        <v>187</v>
      </c>
      <c r="J30" s="7" t="n">
        <v>5</v>
      </c>
      <c r="K30" s="7" t="n">
        <v>5</v>
      </c>
      <c r="L30" s="7" t="n">
        <v>5</v>
      </c>
      <c r="M30" s="8" t="n">
        <f aca="false">IF(COUNT(J30:L30)=3,ROUND(AVERAGE(J30:L30),1),"")</f>
        <v>5</v>
      </c>
      <c r="N30" s="7"/>
      <c r="O30" s="6" t="s">
        <v>188</v>
      </c>
      <c r="P30" s="6" t="s">
        <v>189</v>
      </c>
    </row>
    <row r="31" customFormat="false" ht="180.55" hidden="false" customHeight="false" outlineLevel="0" collapsed="false">
      <c r="A31" s="5" t="s">
        <v>179</v>
      </c>
      <c r="B31" s="5" t="s">
        <v>163</v>
      </c>
      <c r="C31" s="5" t="s">
        <v>180</v>
      </c>
      <c r="D31" s="5" t="s">
        <v>49</v>
      </c>
      <c r="E31" s="6" t="s">
        <v>50</v>
      </c>
      <c r="F31" s="5" t="s">
        <v>51</v>
      </c>
      <c r="G31" s="5" t="s">
        <v>190</v>
      </c>
      <c r="H31" s="5" t="s">
        <v>191</v>
      </c>
      <c r="I31" s="6" t="s">
        <v>192</v>
      </c>
      <c r="J31" s="7" t="n">
        <v>5</v>
      </c>
      <c r="K31" s="7" t="n">
        <v>5</v>
      </c>
      <c r="L31" s="7" t="n">
        <v>5</v>
      </c>
      <c r="M31" s="8" t="n">
        <f aca="false">IF(COUNT(J31:L31)=3,ROUND(AVERAGE(J31:L31),1),"")</f>
        <v>5</v>
      </c>
      <c r="N31" s="7"/>
      <c r="O31" s="6" t="s">
        <v>193</v>
      </c>
      <c r="P31" s="6" t="s">
        <v>88</v>
      </c>
    </row>
    <row r="32" customFormat="false" ht="113.4" hidden="false" customHeight="false" outlineLevel="0" collapsed="false">
      <c r="A32" s="5" t="s">
        <v>194</v>
      </c>
      <c r="B32" s="5" t="s">
        <v>163</v>
      </c>
      <c r="C32" s="5" t="s">
        <v>195</v>
      </c>
      <c r="D32" s="5" t="s">
        <v>33</v>
      </c>
      <c r="E32" s="6" t="s">
        <v>34</v>
      </c>
      <c r="F32" s="5" t="s">
        <v>35</v>
      </c>
      <c r="G32" s="5" t="s">
        <v>36</v>
      </c>
      <c r="H32" s="5" t="s">
        <v>196</v>
      </c>
      <c r="I32" s="6" t="s">
        <v>197</v>
      </c>
      <c r="J32" s="7" t="n">
        <v>5</v>
      </c>
      <c r="K32" s="7" t="n">
        <v>4</v>
      </c>
      <c r="L32" s="7" t="n">
        <v>4</v>
      </c>
      <c r="M32" s="8" t="n">
        <f aca="false">IF(COUNT(J32:L32)=3,ROUND(AVERAGE(J32:L32),1),"")</f>
        <v>4.3</v>
      </c>
      <c r="N32" s="7"/>
      <c r="O32" s="6" t="s">
        <v>198</v>
      </c>
      <c r="P32" s="6" t="s">
        <v>199</v>
      </c>
    </row>
    <row r="33" customFormat="false" ht="124.6" hidden="false" customHeight="false" outlineLevel="0" collapsed="false">
      <c r="A33" s="5" t="s">
        <v>194</v>
      </c>
      <c r="B33" s="5" t="s">
        <v>163</v>
      </c>
      <c r="C33" s="5" t="s">
        <v>195</v>
      </c>
      <c r="D33" s="5" t="s">
        <v>41</v>
      </c>
      <c r="E33" s="6" t="s">
        <v>42</v>
      </c>
      <c r="F33" s="5" t="s">
        <v>43</v>
      </c>
      <c r="G33" s="5" t="s">
        <v>200</v>
      </c>
      <c r="H33" s="5" t="s">
        <v>201</v>
      </c>
      <c r="I33" s="6" t="s">
        <v>202</v>
      </c>
      <c r="J33" s="7" t="n">
        <v>5</v>
      </c>
      <c r="K33" s="7" t="n">
        <v>5</v>
      </c>
      <c r="L33" s="7" t="n">
        <v>4</v>
      </c>
      <c r="M33" s="8" t="n">
        <f aca="false">IF(COUNT(J33:L33)=3,ROUND(AVERAGE(J33:L33),1),"")</f>
        <v>4.7</v>
      </c>
      <c r="N33" s="7"/>
      <c r="O33" s="6" t="s">
        <v>203</v>
      </c>
      <c r="P33" s="6" t="s">
        <v>204</v>
      </c>
    </row>
    <row r="34" customFormat="false" ht="191.75" hidden="false" customHeight="false" outlineLevel="0" collapsed="false">
      <c r="A34" s="5" t="s">
        <v>194</v>
      </c>
      <c r="B34" s="5" t="s">
        <v>163</v>
      </c>
      <c r="C34" s="5" t="s">
        <v>195</v>
      </c>
      <c r="D34" s="5" t="s">
        <v>49</v>
      </c>
      <c r="E34" s="6" t="s">
        <v>50</v>
      </c>
      <c r="F34" s="5" t="s">
        <v>51</v>
      </c>
      <c r="G34" s="5" t="s">
        <v>205</v>
      </c>
      <c r="H34" s="5" t="s">
        <v>206</v>
      </c>
      <c r="I34" s="6" t="s">
        <v>207</v>
      </c>
      <c r="J34" s="7" t="n">
        <v>5</v>
      </c>
      <c r="K34" s="7" t="n">
        <v>5</v>
      </c>
      <c r="L34" s="7" t="n">
        <v>5</v>
      </c>
      <c r="M34" s="8" t="n">
        <f aca="false">IF(COUNT(J34:L34)=3,ROUND(AVERAGE(J34:L34),1),"")</f>
        <v>5</v>
      </c>
      <c r="N34" s="7"/>
      <c r="O34" s="6" t="s">
        <v>208</v>
      </c>
      <c r="P34" s="6" t="s">
        <v>88</v>
      </c>
    </row>
  </sheetData>
  <dataValidations count="2">
    <dataValidation allowBlank="true" errorStyle="stop" operator="between" showDropDown="false" showErrorMessage="false" showInputMessage="false" sqref="J2:L34" type="list">
      <formula1>"1,2,3,4,5"</formula1>
      <formula2>0</formula2>
    </dataValidation>
    <dataValidation allowBlank="true" errorStyle="stop" operator="between" showDropDown="false" showErrorMessage="false" showInputMessage="false" sqref="N2:N34"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30"/>
    <col collapsed="false" customWidth="true" hidden="false" outlineLevel="0" max="5" min="4" style="0" width="70"/>
    <col collapsed="false" customWidth="true" hidden="false" outlineLevel="0" max="6" min="6" style="0" width="44"/>
  </cols>
  <sheetData>
    <row r="1" customFormat="false" ht="15" hidden="false" customHeight="false" outlineLevel="0" collapsed="false">
      <c r="A1" s="4" t="s">
        <v>14</v>
      </c>
      <c r="B1" s="4" t="s">
        <v>15</v>
      </c>
      <c r="C1" s="4" t="s">
        <v>209</v>
      </c>
      <c r="D1" s="4" t="s">
        <v>210</v>
      </c>
      <c r="E1" s="4" t="s">
        <v>211</v>
      </c>
      <c r="F1" s="4" t="s">
        <v>212</v>
      </c>
    </row>
    <row r="2" customFormat="false" ht="23.85" hidden="false" customHeight="false" outlineLevel="0" collapsed="false">
      <c r="A2" s="12" t="s">
        <v>30</v>
      </c>
      <c r="B2" s="12" t="s">
        <v>31</v>
      </c>
      <c r="C2" s="12" t="s">
        <v>32</v>
      </c>
      <c r="D2" s="12" t="s">
        <v>37</v>
      </c>
      <c r="E2" s="12" t="s">
        <v>213</v>
      </c>
      <c r="F2" s="12" t="s">
        <v>214</v>
      </c>
    </row>
    <row r="3" customFormat="false" ht="68.65" hidden="false" customHeight="false" outlineLevel="0" collapsed="false">
      <c r="A3" s="12" t="s">
        <v>57</v>
      </c>
      <c r="B3" s="12" t="s">
        <v>31</v>
      </c>
      <c r="C3" s="12" t="s">
        <v>58</v>
      </c>
      <c r="D3" s="12" t="s">
        <v>215</v>
      </c>
      <c r="E3" s="12" t="s">
        <v>216</v>
      </c>
      <c r="F3" s="12" t="s">
        <v>214</v>
      </c>
    </row>
    <row r="4" customFormat="false" ht="57.45" hidden="false" customHeight="false" outlineLevel="0" collapsed="false">
      <c r="A4" s="12" t="s">
        <v>73</v>
      </c>
      <c r="B4" s="12" t="s">
        <v>31</v>
      </c>
      <c r="C4" s="12" t="s">
        <v>74</v>
      </c>
      <c r="D4" s="12" t="s">
        <v>217</v>
      </c>
      <c r="E4" s="12" t="s">
        <v>218</v>
      </c>
      <c r="F4" s="12" t="s">
        <v>214</v>
      </c>
    </row>
    <row r="5" customFormat="false" ht="35.05" hidden="false" customHeight="false" outlineLevel="0" collapsed="false">
      <c r="A5" s="12" t="s">
        <v>89</v>
      </c>
      <c r="B5" s="12" t="s">
        <v>90</v>
      </c>
      <c r="C5" s="12" t="s">
        <v>91</v>
      </c>
      <c r="D5" s="12" t="s">
        <v>219</v>
      </c>
      <c r="E5" s="12" t="s">
        <v>220</v>
      </c>
      <c r="F5" s="12" t="s">
        <v>214</v>
      </c>
    </row>
    <row r="6" customFormat="false" ht="23.85" hidden="false" customHeight="false" outlineLevel="0" collapsed="false">
      <c r="A6" s="12" t="s">
        <v>105</v>
      </c>
      <c r="B6" s="12" t="s">
        <v>90</v>
      </c>
      <c r="C6" s="12" t="s">
        <v>106</v>
      </c>
      <c r="D6" s="12" t="s">
        <v>221</v>
      </c>
      <c r="E6" s="12" t="s">
        <v>222</v>
      </c>
      <c r="F6" s="12" t="s">
        <v>214</v>
      </c>
    </row>
    <row r="7" customFormat="false" ht="23.85" hidden="false" customHeight="false" outlineLevel="0" collapsed="false">
      <c r="A7" s="12" t="s">
        <v>120</v>
      </c>
      <c r="B7" s="12" t="s">
        <v>90</v>
      </c>
      <c r="C7" s="12" t="s">
        <v>121</v>
      </c>
      <c r="D7" s="12" t="s">
        <v>223</v>
      </c>
      <c r="E7" s="12" t="s">
        <v>224</v>
      </c>
      <c r="F7" s="12" t="s">
        <v>214</v>
      </c>
    </row>
    <row r="8" customFormat="false" ht="214.15" hidden="false" customHeight="false" outlineLevel="0" collapsed="false">
      <c r="A8" s="12" t="s">
        <v>135</v>
      </c>
      <c r="B8" s="12" t="s">
        <v>136</v>
      </c>
      <c r="C8" s="12" t="s">
        <v>137</v>
      </c>
      <c r="D8" s="12" t="s">
        <v>225</v>
      </c>
      <c r="E8" s="12" t="s">
        <v>226</v>
      </c>
      <c r="F8" s="12" t="s">
        <v>227</v>
      </c>
    </row>
    <row r="9" customFormat="false" ht="23.85" hidden="false" customHeight="false" outlineLevel="0" collapsed="false">
      <c r="A9" s="12" t="s">
        <v>146</v>
      </c>
      <c r="B9" s="12" t="s">
        <v>136</v>
      </c>
      <c r="C9" s="12" t="s">
        <v>147</v>
      </c>
      <c r="D9" s="12" t="s">
        <v>228</v>
      </c>
      <c r="E9" s="12" t="s">
        <v>229</v>
      </c>
      <c r="F9" s="12" t="s">
        <v>230</v>
      </c>
    </row>
    <row r="10" customFormat="false" ht="46.25" hidden="false" customHeight="false" outlineLevel="0" collapsed="false">
      <c r="A10" s="12" t="s">
        <v>162</v>
      </c>
      <c r="B10" s="12" t="s">
        <v>163</v>
      </c>
      <c r="C10" s="12" t="s">
        <v>164</v>
      </c>
      <c r="D10" s="12" t="s">
        <v>231</v>
      </c>
      <c r="E10" s="12" t="s">
        <v>232</v>
      </c>
      <c r="F10" s="12" t="s">
        <v>214</v>
      </c>
    </row>
    <row r="11" customFormat="false" ht="57.45" hidden="false" customHeight="false" outlineLevel="0" collapsed="false">
      <c r="A11" s="12" t="s">
        <v>179</v>
      </c>
      <c r="B11" s="12" t="s">
        <v>163</v>
      </c>
      <c r="C11" s="12" t="s">
        <v>180</v>
      </c>
      <c r="D11" s="12" t="s">
        <v>233</v>
      </c>
      <c r="E11" s="12" t="s">
        <v>234</v>
      </c>
      <c r="F11" s="12" t="s">
        <v>214</v>
      </c>
    </row>
    <row r="12" customFormat="false" ht="91" hidden="false" customHeight="false" outlineLevel="0" collapsed="false">
      <c r="A12" s="12" t="s">
        <v>194</v>
      </c>
      <c r="B12" s="12" t="s">
        <v>163</v>
      </c>
      <c r="C12" s="12" t="s">
        <v>195</v>
      </c>
      <c r="D12" s="12" t="s">
        <v>235</v>
      </c>
      <c r="E12" s="12" t="s">
        <v>236</v>
      </c>
      <c r="F12" s="12"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5" hidden="false" customHeight="false" outlineLevel="0" collapsed="false">
      <c r="A1" s="4" t="s">
        <v>237</v>
      </c>
      <c r="B1" s="4" t="s">
        <v>238</v>
      </c>
    </row>
    <row r="2" customFormat="false" ht="15" hidden="false" customHeight="false" outlineLevel="0" collapsed="false">
      <c r="A2" s="13" t="n">
        <v>5</v>
      </c>
      <c r="B2" s="12" t="s">
        <v>239</v>
      </c>
    </row>
    <row r="3" customFormat="false" ht="15" hidden="false" customHeight="false" outlineLevel="0" collapsed="false">
      <c r="A3" s="13" t="n">
        <v>4</v>
      </c>
      <c r="B3" s="12" t="s">
        <v>240</v>
      </c>
    </row>
    <row r="4" customFormat="false" ht="15" hidden="false" customHeight="false" outlineLevel="0" collapsed="false">
      <c r="A4" s="13" t="n">
        <v>3</v>
      </c>
      <c r="B4" s="12" t="s">
        <v>241</v>
      </c>
    </row>
    <row r="5" customFormat="false" ht="15" hidden="false" customHeight="false" outlineLevel="0" collapsed="false">
      <c r="A5" s="13" t="n">
        <v>2</v>
      </c>
      <c r="B5" s="12" t="s">
        <v>242</v>
      </c>
    </row>
    <row r="6" customFormat="false" ht="15" hidden="false" customHeight="false" outlineLevel="0" collapsed="false">
      <c r="A6" s="13" t="n">
        <v>1</v>
      </c>
      <c r="B6" s="12" t="s">
        <v>243</v>
      </c>
    </row>
    <row r="8" customFormat="false" ht="15" hidden="false" customHeight="false" outlineLevel="0" collapsed="false">
      <c r="A8" s="4" t="s">
        <v>244</v>
      </c>
      <c r="B8" s="4" t="s">
        <v>245</v>
      </c>
    </row>
    <row r="9" customFormat="false" ht="15" hidden="false" customHeight="false" outlineLevel="0" collapsed="false">
      <c r="A9" s="14" t="s">
        <v>246</v>
      </c>
      <c r="B9" s="12" t="s">
        <v>247</v>
      </c>
    </row>
    <row r="10" customFormat="false" ht="23.85" hidden="false" customHeight="false" outlineLevel="0" collapsed="false">
      <c r="A10" s="14" t="s">
        <v>248</v>
      </c>
      <c r="B10" s="12" t="s">
        <v>249</v>
      </c>
    </row>
    <row r="11" customFormat="false" ht="15" hidden="false" customHeight="false" outlineLevel="0" collapsed="false">
      <c r="A11" s="14" t="s">
        <v>250</v>
      </c>
      <c r="B11" s="12" t="s">
        <v>251</v>
      </c>
    </row>
    <row r="12" customFormat="false" ht="15" hidden="false" customHeight="false" outlineLevel="0" collapsed="false">
      <c r="A12" s="14" t="s">
        <v>26</v>
      </c>
      <c r="B12" s="12" t="s">
        <v>252</v>
      </c>
    </row>
    <row r="13" customFormat="false" ht="23.85" hidden="false" customHeight="false" outlineLevel="0" collapsed="false">
      <c r="A13" s="14" t="s">
        <v>27</v>
      </c>
      <c r="B13" s="12"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5" min="3" style="0" width="12"/>
    <col collapsed="false" customWidth="true" hidden="false" outlineLevel="0" max="6" min="6" style="0" width="18"/>
    <col collapsed="false" customWidth="true" hidden="false" outlineLevel="0" max="7" min="7" style="0" width="16"/>
  </cols>
  <sheetData>
    <row r="1" customFormat="false" ht="17.35" hidden="false" customHeight="false" outlineLevel="0" collapsed="false">
      <c r="A1" s="1" t="s">
        <v>254</v>
      </c>
    </row>
    <row r="3" customFormat="false" ht="15" hidden="false" customHeight="false" outlineLevel="0" collapsed="false">
      <c r="A3" s="4" t="s">
        <v>255</v>
      </c>
      <c r="B3" s="4" t="s">
        <v>256</v>
      </c>
    </row>
    <row r="4" customFormat="false" ht="15" hidden="false" customHeight="true" outlineLevel="0" collapsed="false">
      <c r="A4" s="15" t="s">
        <v>257</v>
      </c>
      <c r="B4" s="9" t="s">
        <v>258</v>
      </c>
      <c r="C4" s="9"/>
      <c r="D4" s="9"/>
      <c r="E4" s="9"/>
      <c r="F4" s="9"/>
      <c r="G4" s="9"/>
    </row>
    <row r="5" customFormat="false" ht="15" hidden="false" customHeight="true" outlineLevel="0" collapsed="false">
      <c r="A5" s="15" t="s">
        <v>259</v>
      </c>
      <c r="B5" s="9" t="s">
        <v>260</v>
      </c>
      <c r="C5" s="9"/>
      <c r="D5" s="9"/>
      <c r="E5" s="9"/>
      <c r="F5" s="9"/>
      <c r="G5" s="9"/>
    </row>
    <row r="6" customFormat="false" ht="15" hidden="false" customHeight="true" outlineLevel="0" collapsed="false">
      <c r="A6" s="15" t="s">
        <v>261</v>
      </c>
      <c r="B6" s="9" t="s">
        <v>262</v>
      </c>
      <c r="C6" s="9"/>
      <c r="D6" s="9"/>
      <c r="E6" s="9"/>
      <c r="F6" s="9"/>
      <c r="G6" s="9"/>
    </row>
    <row r="7" customFormat="false" ht="15" hidden="false" customHeight="true" outlineLevel="0" collapsed="false">
      <c r="A7" s="15" t="s">
        <v>263</v>
      </c>
      <c r="B7" s="9" t="s">
        <v>264</v>
      </c>
      <c r="C7" s="9"/>
      <c r="D7" s="9"/>
      <c r="E7" s="9"/>
      <c r="F7" s="9"/>
      <c r="G7" s="9"/>
    </row>
    <row r="8" customFormat="false" ht="15" hidden="false" customHeight="true" outlineLevel="0" collapsed="false">
      <c r="A8" s="15" t="s">
        <v>265</v>
      </c>
      <c r="B8" s="10" t="s">
        <v>266</v>
      </c>
      <c r="C8" s="10"/>
      <c r="D8" s="10"/>
      <c r="E8" s="10"/>
      <c r="F8" s="10"/>
      <c r="G8" s="10"/>
    </row>
    <row r="9" customFormat="false" ht="15" hidden="false" customHeight="true" outlineLevel="0" collapsed="false">
      <c r="A9" s="15" t="s">
        <v>267</v>
      </c>
      <c r="B9" s="10" t="s">
        <v>268</v>
      </c>
      <c r="C9" s="10"/>
      <c r="D9" s="10"/>
      <c r="E9" s="10"/>
      <c r="F9" s="10"/>
      <c r="G9" s="10"/>
    </row>
    <row r="10" customFormat="false" ht="15" hidden="false" customHeight="true" outlineLevel="0" collapsed="false">
      <c r="A10" s="15" t="s">
        <v>269</v>
      </c>
      <c r="B10" s="10" t="s">
        <v>270</v>
      </c>
      <c r="C10" s="10"/>
      <c r="D10" s="10"/>
      <c r="E10" s="10"/>
      <c r="F10" s="10"/>
      <c r="G10" s="10"/>
    </row>
    <row r="11" customFormat="false" ht="57.75" hidden="false" customHeight="true" outlineLevel="0" collapsed="false">
      <c r="A11" s="16" t="s">
        <v>271</v>
      </c>
      <c r="B11" s="16"/>
      <c r="C11" s="16"/>
      <c r="D11" s="16"/>
      <c r="E11" s="16"/>
      <c r="F11" s="16"/>
      <c r="G11" s="16"/>
    </row>
    <row r="13" customFormat="false" ht="15" hidden="false" customHeight="false" outlineLevel="0" collapsed="false">
      <c r="A13" s="17" t="s">
        <v>272</v>
      </c>
    </row>
    <row r="14" customFormat="false" ht="23.85" hidden="false" customHeight="false" outlineLevel="0" collapsed="false">
      <c r="A14" s="4" t="s">
        <v>14</v>
      </c>
      <c r="B14" s="4" t="s">
        <v>15</v>
      </c>
      <c r="C14" s="4" t="s">
        <v>33</v>
      </c>
      <c r="D14" s="4" t="s">
        <v>41</v>
      </c>
      <c r="E14" s="4" t="s">
        <v>49</v>
      </c>
      <c r="F14" s="4" t="s">
        <v>273</v>
      </c>
      <c r="G14" s="4" t="s">
        <v>274</v>
      </c>
    </row>
    <row r="15" customFormat="false" ht="15" hidden="false" customHeight="false" outlineLevel="0" collapsed="false">
      <c r="A15" s="18" t="s">
        <v>30</v>
      </c>
      <c r="B15" s="18" t="s">
        <v>31</v>
      </c>
      <c r="C15" s="13" t="n">
        <f aca="false">IF(COUNTIFS('Evaluation Log'!$A$2:$A$34,$A15,'Evaluation Log'!$D$2:$D$34,C$14,'Evaluation Log'!$M$2:$M$34,"&gt;0")=0,"",SUMIFS('Evaluation Log'!$M$2:$M$34,'Evaluation Log'!$A$2:$A$34,$A15,'Evaluation Log'!$D$2:$D$34,C$14))</f>
        <v>4.7</v>
      </c>
      <c r="D15" s="13" t="n">
        <f aca="false">IF(COUNTIFS('Evaluation Log'!$A$2:$A$34,$A15,'Evaluation Log'!$D$2:$D$34,D$14,'Evaluation Log'!$M$2:$M$34,"&gt;0")=0,"",SUMIFS('Evaluation Log'!$M$2:$M$34,'Evaluation Log'!$A$2:$A$34,$A15,'Evaluation Log'!$D$2:$D$34,D$14))</f>
        <v>5</v>
      </c>
      <c r="E15" s="13" t="n">
        <f aca="false">IF(COUNTIFS('Evaluation Log'!$A$2:$A$34,$A15,'Evaluation Log'!$D$2:$D$34,E$14,'Evaluation Log'!$M$2:$M$34,"&gt;0")=0,"",SUMIFS('Evaluation Log'!$M$2:$M$34,'Evaluation Log'!$A$2:$A$34,$A15,'Evaluation Log'!$D$2:$D$34,E$14))</f>
        <v>5</v>
      </c>
      <c r="F15" s="13" t="n">
        <f aca="false">IF(AND(ISNUMBER(C15),ISNUMBER(E15)),E15-C15,"")</f>
        <v>0.3</v>
      </c>
      <c r="G15" s="13" t="str">
        <f aca="false">IF(COUNT(C15:E15)&lt;3,"",IF(MAX(C15:E15)=MIN(C15:E15),"All equal",INDEX($C$14:$E$14,MATCH(MAX(C15:E15),C15:E15,0))))</f>
        <v>v2</v>
      </c>
    </row>
    <row r="16" customFormat="false" ht="15" hidden="false" customHeight="false" outlineLevel="0" collapsed="false">
      <c r="A16" s="18" t="s">
        <v>57</v>
      </c>
      <c r="B16" s="18" t="s">
        <v>31</v>
      </c>
      <c r="C16" s="13" t="n">
        <f aca="false">IF(COUNTIFS('Evaluation Log'!$A$2:$A$34,$A16,'Evaluation Log'!$D$2:$D$34,C$14,'Evaluation Log'!$M$2:$M$34,"&gt;0")=0,"",SUMIFS('Evaluation Log'!$M$2:$M$34,'Evaluation Log'!$A$2:$A$34,$A16,'Evaluation Log'!$D$2:$D$34,C$14))</f>
        <v>4.3</v>
      </c>
      <c r="D16" s="13" t="n">
        <f aca="false">IF(COUNTIFS('Evaluation Log'!$A$2:$A$34,$A16,'Evaluation Log'!$D$2:$D$34,D$14,'Evaluation Log'!$M$2:$M$34,"&gt;0")=0,"",SUMIFS('Evaluation Log'!$M$2:$M$34,'Evaluation Log'!$A$2:$A$34,$A16,'Evaluation Log'!$D$2:$D$34,D$14))</f>
        <v>5</v>
      </c>
      <c r="E16" s="13" t="n">
        <f aca="false">IF(COUNTIFS('Evaluation Log'!$A$2:$A$34,$A16,'Evaluation Log'!$D$2:$D$34,E$14,'Evaluation Log'!$M$2:$M$34,"&gt;0")=0,"",SUMIFS('Evaluation Log'!$M$2:$M$34,'Evaluation Log'!$A$2:$A$34,$A16,'Evaluation Log'!$D$2:$D$34,E$14))</f>
        <v>5</v>
      </c>
      <c r="F16" s="13" t="n">
        <f aca="false">IF(AND(ISNUMBER(C16),ISNUMBER(E16)),E16-C16,"")</f>
        <v>0.7</v>
      </c>
      <c r="G16" s="13" t="str">
        <f aca="false">IF(COUNT(C16:E16)&lt;3,"",IF(MAX(C16:E16)=MIN(C16:E16),"All equal",INDEX($C$14:$E$14,MATCH(MAX(C16:E16),C16:E16,0))))</f>
        <v>v2</v>
      </c>
    </row>
    <row r="17" customFormat="false" ht="15" hidden="false" customHeight="false" outlineLevel="0" collapsed="false">
      <c r="A17" s="18" t="s">
        <v>73</v>
      </c>
      <c r="B17" s="18" t="s">
        <v>31</v>
      </c>
      <c r="C17" s="13" t="n">
        <f aca="false">IF(COUNTIFS('Evaluation Log'!$A$2:$A$34,$A17,'Evaluation Log'!$D$2:$D$34,C$14,'Evaluation Log'!$M$2:$M$34,"&gt;0")=0,"",SUMIFS('Evaluation Log'!$M$2:$M$34,'Evaluation Log'!$A$2:$A$34,$A17,'Evaluation Log'!$D$2:$D$34,C$14))</f>
        <v>3.7</v>
      </c>
      <c r="D17" s="13" t="n">
        <f aca="false">IF(COUNTIFS('Evaluation Log'!$A$2:$A$34,$A17,'Evaluation Log'!$D$2:$D$34,D$14,'Evaluation Log'!$M$2:$M$34,"&gt;0")=0,"",SUMIFS('Evaluation Log'!$M$2:$M$34,'Evaluation Log'!$A$2:$A$34,$A17,'Evaluation Log'!$D$2:$D$34,D$14))</f>
        <v>4.7</v>
      </c>
      <c r="E17" s="13" t="n">
        <f aca="false">IF(COUNTIFS('Evaluation Log'!$A$2:$A$34,$A17,'Evaluation Log'!$D$2:$D$34,E$14,'Evaluation Log'!$M$2:$M$34,"&gt;0")=0,"",SUMIFS('Evaluation Log'!$M$2:$M$34,'Evaluation Log'!$A$2:$A$34,$A17,'Evaluation Log'!$D$2:$D$34,E$14))</f>
        <v>5</v>
      </c>
      <c r="F17" s="13" t="n">
        <f aca="false">IF(AND(ISNUMBER(C17),ISNUMBER(E17)),E17-C17,"")</f>
        <v>1.3</v>
      </c>
      <c r="G17" s="13" t="str">
        <f aca="false">IF(COUNT(C17:E17)&lt;3,"",IF(MAX(C17:E17)=MIN(C17:E17),"All equal",INDEX($C$14:$E$14,MATCH(MAX(C17:E17),C17:E17,0))))</f>
        <v>v3</v>
      </c>
    </row>
    <row r="18" customFormat="false" ht="15" hidden="false" customHeight="false" outlineLevel="0" collapsed="false">
      <c r="A18" s="18" t="s">
        <v>89</v>
      </c>
      <c r="B18" s="18" t="s">
        <v>90</v>
      </c>
      <c r="C18" s="13" t="n">
        <f aca="false">IF(COUNTIFS('Evaluation Log'!$A$2:$A$34,$A18,'Evaluation Log'!$D$2:$D$34,C$14,'Evaluation Log'!$M$2:$M$34,"&gt;0")=0,"",SUMIFS('Evaluation Log'!$M$2:$M$34,'Evaluation Log'!$A$2:$A$34,$A18,'Evaluation Log'!$D$2:$D$34,C$14))</f>
        <v>4.3</v>
      </c>
      <c r="D18" s="13" t="n">
        <f aca="false">IF(COUNTIFS('Evaluation Log'!$A$2:$A$34,$A18,'Evaluation Log'!$D$2:$D$34,D$14,'Evaluation Log'!$M$2:$M$34,"&gt;0")=0,"",SUMIFS('Evaluation Log'!$M$2:$M$34,'Evaluation Log'!$A$2:$A$34,$A18,'Evaluation Log'!$D$2:$D$34,D$14))</f>
        <v>4.7</v>
      </c>
      <c r="E18" s="13" t="n">
        <f aca="false">IF(COUNTIFS('Evaluation Log'!$A$2:$A$34,$A18,'Evaluation Log'!$D$2:$D$34,E$14,'Evaluation Log'!$M$2:$M$34,"&gt;0")=0,"",SUMIFS('Evaluation Log'!$M$2:$M$34,'Evaluation Log'!$A$2:$A$34,$A18,'Evaluation Log'!$D$2:$D$34,E$14))</f>
        <v>5</v>
      </c>
      <c r="F18" s="13" t="n">
        <f aca="false">IF(AND(ISNUMBER(C18),ISNUMBER(E18)),E18-C18,"")</f>
        <v>0.7</v>
      </c>
      <c r="G18" s="13" t="str">
        <f aca="false">IF(COUNT(C18:E18)&lt;3,"",IF(MAX(C18:E18)=MIN(C18:E18),"All equal",INDEX($C$14:$E$14,MATCH(MAX(C18:E18),C18:E18,0))))</f>
        <v>v3</v>
      </c>
    </row>
    <row r="19" customFormat="false" ht="15" hidden="false" customHeight="false" outlineLevel="0" collapsed="false">
      <c r="A19" s="18" t="s">
        <v>105</v>
      </c>
      <c r="B19" s="18" t="s">
        <v>90</v>
      </c>
      <c r="C19" s="13" t="n">
        <f aca="false">IF(COUNTIFS('Evaluation Log'!$A$2:$A$34,$A19,'Evaluation Log'!$D$2:$D$34,C$14,'Evaluation Log'!$M$2:$M$34,"&gt;0")=0,"",SUMIFS('Evaluation Log'!$M$2:$M$34,'Evaluation Log'!$A$2:$A$34,$A19,'Evaluation Log'!$D$2:$D$34,C$14))</f>
        <v>4.3</v>
      </c>
      <c r="D19" s="13" t="n">
        <f aca="false">IF(COUNTIFS('Evaluation Log'!$A$2:$A$34,$A19,'Evaluation Log'!$D$2:$D$34,D$14,'Evaluation Log'!$M$2:$M$34,"&gt;0")=0,"",SUMIFS('Evaluation Log'!$M$2:$M$34,'Evaluation Log'!$A$2:$A$34,$A19,'Evaluation Log'!$D$2:$D$34,D$14))</f>
        <v>4.7</v>
      </c>
      <c r="E19" s="13" t="n">
        <f aca="false">IF(COUNTIFS('Evaluation Log'!$A$2:$A$34,$A19,'Evaluation Log'!$D$2:$D$34,E$14,'Evaluation Log'!$M$2:$M$34,"&gt;0")=0,"",SUMIFS('Evaluation Log'!$M$2:$M$34,'Evaluation Log'!$A$2:$A$34,$A19,'Evaluation Log'!$D$2:$D$34,E$14))</f>
        <v>5</v>
      </c>
      <c r="F19" s="13" t="n">
        <f aca="false">IF(AND(ISNUMBER(C19),ISNUMBER(E19)),E19-C19,"")</f>
        <v>0.7</v>
      </c>
      <c r="G19" s="13" t="str">
        <f aca="false">IF(COUNT(C19:E19)&lt;3,"",IF(MAX(C19:E19)=MIN(C19:E19),"All equal",INDEX($C$14:$E$14,MATCH(MAX(C19:E19),C19:E19,0))))</f>
        <v>v3</v>
      </c>
    </row>
    <row r="20" customFormat="false" ht="15" hidden="false" customHeight="false" outlineLevel="0" collapsed="false">
      <c r="A20" s="18" t="s">
        <v>120</v>
      </c>
      <c r="B20" s="18" t="s">
        <v>90</v>
      </c>
      <c r="C20" s="13" t="n">
        <f aca="false">IF(COUNTIFS('Evaluation Log'!$A$2:$A$34,$A20,'Evaluation Log'!$D$2:$D$34,C$14,'Evaluation Log'!$M$2:$M$34,"&gt;0")=0,"",SUMIFS('Evaluation Log'!$M$2:$M$34,'Evaluation Log'!$A$2:$A$34,$A20,'Evaluation Log'!$D$2:$D$34,C$14))</f>
        <v>3.7</v>
      </c>
      <c r="D20" s="13" t="n">
        <f aca="false">IF(COUNTIFS('Evaluation Log'!$A$2:$A$34,$A20,'Evaluation Log'!$D$2:$D$34,D$14,'Evaluation Log'!$M$2:$M$34,"&gt;0")=0,"",SUMIFS('Evaluation Log'!$M$2:$M$34,'Evaluation Log'!$A$2:$A$34,$A20,'Evaluation Log'!$D$2:$D$34,D$14))</f>
        <v>5</v>
      </c>
      <c r="E20" s="13" t="n">
        <f aca="false">IF(COUNTIFS('Evaluation Log'!$A$2:$A$34,$A20,'Evaluation Log'!$D$2:$D$34,E$14,'Evaluation Log'!$M$2:$M$34,"&gt;0")=0,"",SUMIFS('Evaluation Log'!$M$2:$M$34,'Evaluation Log'!$A$2:$A$34,$A20,'Evaluation Log'!$D$2:$D$34,E$14))</f>
        <v>5</v>
      </c>
      <c r="F20" s="13" t="n">
        <f aca="false">IF(AND(ISNUMBER(C20),ISNUMBER(E20)),E20-C20,"")</f>
        <v>1.3</v>
      </c>
      <c r="G20" s="13" t="str">
        <f aca="false">IF(COUNT(C20:E20)&lt;3,"",IF(MAX(C20:E20)=MIN(C20:E20),"All equal",INDEX($C$14:$E$14,MATCH(MAX(C20:E20),C20:E20,0))))</f>
        <v>v2</v>
      </c>
    </row>
    <row r="21" customFormat="false" ht="15" hidden="false" customHeight="false" outlineLevel="0" collapsed="false">
      <c r="A21" s="18" t="s">
        <v>135</v>
      </c>
      <c r="B21" s="18" t="s">
        <v>136</v>
      </c>
      <c r="C21" s="13" t="str">
        <f aca="false">IF(COUNTIFS('Evaluation Log'!$A$2:$A$34,$A21,'Evaluation Log'!$D$2:$D$34,C$14,'Evaluation Log'!$M$2:$M$34,"&gt;0")=0,"",SUMIFS('Evaluation Log'!$M$2:$M$34,'Evaluation Log'!$A$2:$A$34,$A21,'Evaluation Log'!$D$2:$D$34,C$14))</f>
        <v/>
      </c>
      <c r="D21" s="13" t="str">
        <f aca="false">IF(COUNTIFS('Evaluation Log'!$A$2:$A$34,$A21,'Evaluation Log'!$D$2:$D$34,D$14,'Evaluation Log'!$M$2:$M$34,"&gt;0")=0,"",SUMIFS('Evaluation Log'!$M$2:$M$34,'Evaluation Log'!$A$2:$A$34,$A21,'Evaluation Log'!$D$2:$D$34,D$14))</f>
        <v/>
      </c>
      <c r="E21" s="13" t="str">
        <f aca="false">IF(COUNTIFS('Evaluation Log'!$A$2:$A$34,$A21,'Evaluation Log'!$D$2:$D$34,E$14,'Evaluation Log'!$M$2:$M$34,"&gt;0")=0,"",SUMIFS('Evaluation Log'!$M$2:$M$34,'Evaluation Log'!$A$2:$A$34,$A21,'Evaluation Log'!$D$2:$D$34,E$14))</f>
        <v/>
      </c>
      <c r="F21" s="13" t="str">
        <f aca="false">IF(AND(ISNUMBER(C21),ISNUMBER(E21)),E21-C21,"")</f>
        <v/>
      </c>
      <c r="G21" s="13" t="str">
        <f aca="false">IF(COUNT(C21:E21)&lt;3,"",IF(MAX(C21:E21)=MIN(C21:E21),"All equal",INDEX($C$14:$E$14,MATCH(MAX(C21:E21),C21:E21,0))))</f>
        <v/>
      </c>
    </row>
    <row r="22" customFormat="false" ht="15" hidden="false" customHeight="false" outlineLevel="0" collapsed="false">
      <c r="A22" s="18" t="s">
        <v>146</v>
      </c>
      <c r="B22" s="18" t="s">
        <v>136</v>
      </c>
      <c r="C22" s="13" t="n">
        <f aca="false">IF(COUNTIFS('Evaluation Log'!$A$2:$A$34,$A22,'Evaluation Log'!$D$2:$D$34,C$14,'Evaluation Log'!$M$2:$M$34,"&gt;0")=0,"",SUMIFS('Evaluation Log'!$M$2:$M$34,'Evaluation Log'!$A$2:$A$34,$A22,'Evaluation Log'!$D$2:$D$34,C$14))</f>
        <v>4</v>
      </c>
      <c r="D22" s="13" t="n">
        <f aca="false">IF(COUNTIFS('Evaluation Log'!$A$2:$A$34,$A22,'Evaluation Log'!$D$2:$D$34,D$14,'Evaluation Log'!$M$2:$M$34,"&gt;0")=0,"",SUMIFS('Evaluation Log'!$M$2:$M$34,'Evaluation Log'!$A$2:$A$34,$A22,'Evaluation Log'!$D$2:$D$34,D$14))</f>
        <v>4</v>
      </c>
      <c r="E22" s="13" t="n">
        <f aca="false">IF(COUNTIFS('Evaluation Log'!$A$2:$A$34,$A22,'Evaluation Log'!$D$2:$D$34,E$14,'Evaluation Log'!$M$2:$M$34,"&gt;0")=0,"",SUMIFS('Evaluation Log'!$M$2:$M$34,'Evaluation Log'!$A$2:$A$34,$A22,'Evaluation Log'!$D$2:$D$34,E$14))</f>
        <v>4.7</v>
      </c>
      <c r="F22" s="13" t="n">
        <f aca="false">IF(AND(ISNUMBER(C22),ISNUMBER(E22)),E22-C22,"")</f>
        <v>0.7</v>
      </c>
      <c r="G22" s="13" t="str">
        <f aca="false">IF(COUNT(C22:E22)&lt;3,"",IF(MAX(C22:E22)=MIN(C22:E22),"All equal",INDEX($C$14:$E$14,MATCH(MAX(C22:E22),C22:E22,0))))</f>
        <v>v3</v>
      </c>
    </row>
    <row r="23" customFormat="false" ht="15" hidden="false" customHeight="false" outlineLevel="0" collapsed="false">
      <c r="A23" s="18" t="s">
        <v>162</v>
      </c>
      <c r="B23" s="18" t="s">
        <v>163</v>
      </c>
      <c r="C23" s="13" t="n">
        <f aca="false">IF(COUNTIFS('Evaluation Log'!$A$2:$A$34,$A23,'Evaluation Log'!$D$2:$D$34,C$14,'Evaluation Log'!$M$2:$M$34,"&gt;0")=0,"",SUMIFS('Evaluation Log'!$M$2:$M$34,'Evaluation Log'!$A$2:$A$34,$A23,'Evaluation Log'!$D$2:$D$34,C$14))</f>
        <v>3.7</v>
      </c>
      <c r="D23" s="13" t="n">
        <f aca="false">IF(COUNTIFS('Evaluation Log'!$A$2:$A$34,$A23,'Evaluation Log'!$D$2:$D$34,D$14,'Evaluation Log'!$M$2:$M$34,"&gt;0")=0,"",SUMIFS('Evaluation Log'!$M$2:$M$34,'Evaluation Log'!$A$2:$A$34,$A23,'Evaluation Log'!$D$2:$D$34,D$14))</f>
        <v>4</v>
      </c>
      <c r="E23" s="13" t="n">
        <f aca="false">IF(COUNTIFS('Evaluation Log'!$A$2:$A$34,$A23,'Evaluation Log'!$D$2:$D$34,E$14,'Evaluation Log'!$M$2:$M$34,"&gt;0")=0,"",SUMIFS('Evaluation Log'!$M$2:$M$34,'Evaluation Log'!$A$2:$A$34,$A23,'Evaluation Log'!$D$2:$D$34,E$14))</f>
        <v>5</v>
      </c>
      <c r="F23" s="13" t="n">
        <f aca="false">IF(AND(ISNUMBER(C23),ISNUMBER(E23)),E23-C23,"")</f>
        <v>1.3</v>
      </c>
      <c r="G23" s="13" t="str">
        <f aca="false">IF(COUNT(C23:E23)&lt;3,"",IF(MAX(C23:E23)=MIN(C23:E23),"All equal",INDEX($C$14:$E$14,MATCH(MAX(C23:E23),C23:E23,0))))</f>
        <v>v3</v>
      </c>
    </row>
    <row r="24" customFormat="false" ht="15" hidden="false" customHeight="false" outlineLevel="0" collapsed="false">
      <c r="A24" s="18" t="s">
        <v>179</v>
      </c>
      <c r="B24" s="18" t="s">
        <v>163</v>
      </c>
      <c r="C24" s="13" t="n">
        <f aca="false">IF(COUNTIFS('Evaluation Log'!$A$2:$A$34,$A24,'Evaluation Log'!$D$2:$D$34,C$14,'Evaluation Log'!$M$2:$M$34,"&gt;0")=0,"",SUMIFS('Evaluation Log'!$M$2:$M$34,'Evaluation Log'!$A$2:$A$34,$A24,'Evaluation Log'!$D$2:$D$34,C$14))</f>
        <v>4</v>
      </c>
      <c r="D24" s="13" t="n">
        <f aca="false">IF(COUNTIFS('Evaluation Log'!$A$2:$A$34,$A24,'Evaluation Log'!$D$2:$D$34,D$14,'Evaluation Log'!$M$2:$M$34,"&gt;0")=0,"",SUMIFS('Evaluation Log'!$M$2:$M$34,'Evaluation Log'!$A$2:$A$34,$A24,'Evaluation Log'!$D$2:$D$34,D$14))</f>
        <v>5</v>
      </c>
      <c r="E24" s="13" t="n">
        <f aca="false">IF(COUNTIFS('Evaluation Log'!$A$2:$A$34,$A24,'Evaluation Log'!$D$2:$D$34,E$14,'Evaluation Log'!$M$2:$M$34,"&gt;0")=0,"",SUMIFS('Evaluation Log'!$M$2:$M$34,'Evaluation Log'!$A$2:$A$34,$A24,'Evaluation Log'!$D$2:$D$34,E$14))</f>
        <v>5</v>
      </c>
      <c r="F24" s="13" t="n">
        <f aca="false">IF(AND(ISNUMBER(C24),ISNUMBER(E24)),E24-C24,"")</f>
        <v>1</v>
      </c>
      <c r="G24" s="13" t="str">
        <f aca="false">IF(COUNT(C24:E24)&lt;3,"",IF(MAX(C24:E24)=MIN(C24:E24),"All equal",INDEX($C$14:$E$14,MATCH(MAX(C24:E24),C24:E24,0))))</f>
        <v>v2</v>
      </c>
    </row>
    <row r="25" customFormat="false" ht="15" hidden="false" customHeight="false" outlineLevel="0" collapsed="false">
      <c r="A25" s="18" t="s">
        <v>194</v>
      </c>
      <c r="B25" s="18" t="s">
        <v>163</v>
      </c>
      <c r="C25" s="13" t="n">
        <f aca="false">IF(COUNTIFS('Evaluation Log'!$A$2:$A$34,$A25,'Evaluation Log'!$D$2:$D$34,C$14,'Evaluation Log'!$M$2:$M$34,"&gt;0")=0,"",SUMIFS('Evaluation Log'!$M$2:$M$34,'Evaluation Log'!$A$2:$A$34,$A25,'Evaluation Log'!$D$2:$D$34,C$14))</f>
        <v>4.3</v>
      </c>
      <c r="D25" s="13" t="n">
        <f aca="false">IF(COUNTIFS('Evaluation Log'!$A$2:$A$34,$A25,'Evaluation Log'!$D$2:$D$34,D$14,'Evaluation Log'!$M$2:$M$34,"&gt;0")=0,"",SUMIFS('Evaluation Log'!$M$2:$M$34,'Evaluation Log'!$A$2:$A$34,$A25,'Evaluation Log'!$D$2:$D$34,D$14))</f>
        <v>4.7</v>
      </c>
      <c r="E25" s="13" t="n">
        <f aca="false">IF(COUNTIFS('Evaluation Log'!$A$2:$A$34,$A25,'Evaluation Log'!$D$2:$D$34,E$14,'Evaluation Log'!$M$2:$M$34,"&gt;0")=0,"",SUMIFS('Evaluation Log'!$M$2:$M$34,'Evaluation Log'!$A$2:$A$34,$A25,'Evaluation Log'!$D$2:$D$34,E$14))</f>
        <v>5</v>
      </c>
      <c r="F25" s="13" t="n">
        <f aca="false">IF(AND(ISNUMBER(C25),ISNUMBER(E25)),E25-C25,"")</f>
        <v>0.7</v>
      </c>
      <c r="G25" s="13" t="str">
        <f aca="false">IF(COUNT(C25:E25)&lt;3,"",IF(MAX(C25:E25)=MIN(C25:E25),"All equal",INDEX($C$14:$E$14,MATCH(MAX(C25:E25),C25:E25,0))))</f>
        <v>v3</v>
      </c>
    </row>
    <row r="27" customFormat="false" ht="15" hidden="false" customHeight="false" outlineLevel="0" collapsed="false">
      <c r="A27" s="17" t="s">
        <v>275</v>
      </c>
    </row>
    <row r="28" customFormat="false" ht="15" hidden="false" customHeight="false" outlineLevel="0" collapsed="false">
      <c r="A28" s="4" t="s">
        <v>15</v>
      </c>
      <c r="B28" s="4"/>
      <c r="C28" s="4" t="s">
        <v>33</v>
      </c>
      <c r="D28" s="4" t="s">
        <v>41</v>
      </c>
      <c r="E28" s="4" t="s">
        <v>49</v>
      </c>
    </row>
    <row r="29" customFormat="false" ht="15" hidden="false" customHeight="false" outlineLevel="0" collapsed="false">
      <c r="A29" s="18" t="s">
        <v>31</v>
      </c>
      <c r="B29" s="18"/>
      <c r="C29" s="13" t="n">
        <f aca="false">IFERROR(ROUND(AVERAGEIFS('Evaluation Log'!$M$2:$M$34,'Evaluation Log'!$B$2:$B$34,$A29,'Evaluation Log'!$D$2:$D$34,C$28),1),"")</f>
        <v>4.2</v>
      </c>
      <c r="D29" s="13" t="n">
        <f aca="false">IFERROR(ROUND(AVERAGEIFS('Evaluation Log'!$M$2:$M$34,'Evaluation Log'!$B$2:$B$34,$A29,'Evaluation Log'!$D$2:$D$34,D$28),1),"")</f>
        <v>4.9</v>
      </c>
      <c r="E29" s="13" t="n">
        <f aca="false">IFERROR(ROUND(AVERAGEIFS('Evaluation Log'!$M$2:$M$34,'Evaluation Log'!$B$2:$B$34,$A29,'Evaluation Log'!$D$2:$D$34,E$28),1),"")</f>
        <v>5</v>
      </c>
    </row>
    <row r="30" customFormat="false" ht="15" hidden="false" customHeight="false" outlineLevel="0" collapsed="false">
      <c r="A30" s="18" t="s">
        <v>90</v>
      </c>
      <c r="B30" s="18"/>
      <c r="C30" s="13" t="n">
        <f aca="false">IFERROR(ROUND(AVERAGEIFS('Evaluation Log'!$M$2:$M$34,'Evaluation Log'!$B$2:$B$34,$A30,'Evaluation Log'!$D$2:$D$34,C$28),1),"")</f>
        <v>4.1</v>
      </c>
      <c r="D30" s="13" t="n">
        <f aca="false">IFERROR(ROUND(AVERAGEIFS('Evaluation Log'!$M$2:$M$34,'Evaluation Log'!$B$2:$B$34,$A30,'Evaluation Log'!$D$2:$D$34,D$28),1),"")</f>
        <v>4.8</v>
      </c>
      <c r="E30" s="13" t="n">
        <f aca="false">IFERROR(ROUND(AVERAGEIFS('Evaluation Log'!$M$2:$M$34,'Evaluation Log'!$B$2:$B$34,$A30,'Evaluation Log'!$D$2:$D$34,E$28),1),"")</f>
        <v>5</v>
      </c>
    </row>
    <row r="31" customFormat="false" ht="15" hidden="false" customHeight="false" outlineLevel="0" collapsed="false">
      <c r="A31" s="18" t="s">
        <v>136</v>
      </c>
      <c r="B31" s="18"/>
      <c r="C31" s="13" t="n">
        <f aca="false">IFERROR(ROUND(AVERAGEIFS('Evaluation Log'!$M$2:$M$34,'Evaluation Log'!$B$2:$B$34,$A31,'Evaluation Log'!$D$2:$D$34,C$28),1),"")</f>
        <v>4</v>
      </c>
      <c r="D31" s="13" t="n">
        <f aca="false">IFERROR(ROUND(AVERAGEIFS('Evaluation Log'!$M$2:$M$34,'Evaluation Log'!$B$2:$B$34,$A31,'Evaluation Log'!$D$2:$D$34,D$28),1),"")</f>
        <v>4</v>
      </c>
      <c r="E31" s="13" t="n">
        <f aca="false">IFERROR(ROUND(AVERAGEIFS('Evaluation Log'!$M$2:$M$34,'Evaluation Log'!$B$2:$B$34,$A31,'Evaluation Log'!$D$2:$D$34,E$28),1),"")</f>
        <v>4.7</v>
      </c>
    </row>
    <row r="32" customFormat="false" ht="15" hidden="false" customHeight="false" outlineLevel="0" collapsed="false">
      <c r="A32" s="18" t="s">
        <v>163</v>
      </c>
      <c r="B32" s="18"/>
      <c r="C32" s="13" t="n">
        <f aca="false">IFERROR(ROUND(AVERAGEIFS('Evaluation Log'!$M$2:$M$34,'Evaluation Log'!$B$2:$B$34,$A32,'Evaluation Log'!$D$2:$D$34,C$28),1),"")</f>
        <v>4</v>
      </c>
      <c r="D32" s="13" t="n">
        <f aca="false">IFERROR(ROUND(AVERAGEIFS('Evaluation Log'!$M$2:$M$34,'Evaluation Log'!$B$2:$B$34,$A32,'Evaluation Log'!$D$2:$D$34,D$28),1),"")</f>
        <v>4.6</v>
      </c>
      <c r="E32" s="13" t="n">
        <f aca="false">IFERROR(ROUND(AVERAGEIFS('Evaluation Log'!$M$2:$M$34,'Evaluation Log'!$B$2:$B$34,$A32,'Evaluation Log'!$D$2:$D$34,E$28),1),"")</f>
        <v>5</v>
      </c>
    </row>
    <row r="33" customFormat="false" ht="15" hidden="false" customHeight="false" outlineLevel="0" collapsed="false">
      <c r="A33" s="19" t="s">
        <v>276</v>
      </c>
      <c r="B33" s="19"/>
      <c r="C33" s="8" t="n">
        <f aca="false">IFERROR(ROUND(AVERAGEIFS('Evaluation Log'!$M$2:$M$34,'Evaluation Log'!$D$2:$D$34,C$28),1),"")</f>
        <v>4.1</v>
      </c>
      <c r="D33" s="8" t="n">
        <f aca="false">IFERROR(ROUND(AVERAGEIFS('Evaluation Log'!$M$2:$M$34,'Evaluation Log'!$D$2:$D$34,D$28),1),"")</f>
        <v>4.7</v>
      </c>
      <c r="E33" s="8" t="n">
        <f aca="false">IFERROR(ROUND(AVERAGEIFS('Evaluation Log'!$M$2:$M$34,'Evaluation Log'!$D$2:$D$34,E$28),1),"")</f>
        <v>5</v>
      </c>
    </row>
    <row r="35" customFormat="false" ht="15" hidden="false" customHeight="false" outlineLevel="0" collapsed="false">
      <c r="A35" s="17" t="s">
        <v>277</v>
      </c>
    </row>
    <row r="36" customFormat="false" ht="15" hidden="false" customHeight="false" outlineLevel="0" collapsed="false">
      <c r="A36" s="20" t="s">
        <v>278</v>
      </c>
      <c r="B36" s="20"/>
      <c r="C36" s="20"/>
      <c r="D36" s="20"/>
      <c r="E36" s="20"/>
      <c r="F36" s="20"/>
      <c r="G36" s="20"/>
    </row>
    <row r="37" customFormat="false" ht="61.5" hidden="false" customHeight="true" outlineLevel="0" collapsed="false">
      <c r="A37" s="21" t="s">
        <v>279</v>
      </c>
      <c r="B37" s="21"/>
      <c r="C37" s="21"/>
      <c r="D37" s="21"/>
      <c r="E37" s="21"/>
      <c r="F37" s="21"/>
      <c r="G37" s="21"/>
    </row>
    <row r="38" customFormat="false" ht="15" hidden="false" customHeight="false" outlineLevel="0" collapsed="false">
      <c r="A38" s="20" t="s">
        <v>280</v>
      </c>
      <c r="B38" s="20"/>
      <c r="C38" s="20"/>
      <c r="D38" s="20"/>
      <c r="E38" s="20"/>
      <c r="F38" s="20"/>
      <c r="G38" s="20"/>
    </row>
    <row r="39" customFormat="false" ht="61.5" hidden="false" customHeight="true" outlineLevel="0" collapsed="false">
      <c r="A39" s="21" t="s">
        <v>281</v>
      </c>
      <c r="B39" s="21"/>
      <c r="C39" s="21"/>
      <c r="D39" s="21"/>
      <c r="E39" s="21"/>
      <c r="F39" s="21"/>
      <c r="G39" s="21"/>
    </row>
    <row r="40" customFormat="false" ht="15" hidden="false" customHeight="false" outlineLevel="0" collapsed="false">
      <c r="A40" s="20" t="s">
        <v>282</v>
      </c>
      <c r="B40" s="20"/>
      <c r="C40" s="20"/>
      <c r="D40" s="20"/>
      <c r="E40" s="20"/>
      <c r="F40" s="20"/>
      <c r="G40" s="20"/>
    </row>
    <row r="41" customFormat="false" ht="61.5" hidden="false" customHeight="true" outlineLevel="0" collapsed="false">
      <c r="A41" s="21" t="s">
        <v>283</v>
      </c>
      <c r="B41" s="21"/>
      <c r="C41" s="21"/>
      <c r="D41" s="21"/>
      <c r="E41" s="21"/>
      <c r="F41" s="21"/>
      <c r="G41" s="21"/>
    </row>
    <row r="42" customFormat="false" ht="15" hidden="false" customHeight="false" outlineLevel="0" collapsed="false">
      <c r="A42" s="20" t="s">
        <v>284</v>
      </c>
      <c r="B42" s="20"/>
      <c r="C42" s="20"/>
      <c r="D42" s="20"/>
      <c r="E42" s="20"/>
      <c r="F42" s="20"/>
      <c r="G42" s="20"/>
    </row>
    <row r="43" customFormat="false" ht="61.5" hidden="false" customHeight="true" outlineLevel="0" collapsed="false">
      <c r="A43" s="21" t="s">
        <v>285</v>
      </c>
      <c r="B43" s="21"/>
      <c r="C43" s="21"/>
      <c r="D43" s="21"/>
      <c r="E43" s="21"/>
      <c r="F43" s="21"/>
      <c r="G43" s="21"/>
    </row>
    <row r="44" customFormat="false" ht="15" hidden="false" customHeight="false" outlineLevel="0" collapsed="false">
      <c r="A44" s="20" t="s">
        <v>286</v>
      </c>
      <c r="B44" s="20"/>
      <c r="C44" s="20"/>
      <c r="D44" s="20"/>
      <c r="E44" s="20"/>
      <c r="F44" s="20"/>
      <c r="G44" s="20"/>
    </row>
    <row r="45" customFormat="false" ht="61.5" hidden="false" customHeight="true" outlineLevel="0" collapsed="false">
      <c r="A45" s="21" t="s">
        <v>287</v>
      </c>
      <c r="B45" s="21"/>
      <c r="C45" s="21"/>
      <c r="D45" s="21"/>
      <c r="E45" s="21"/>
      <c r="F45" s="21"/>
      <c r="G45" s="21"/>
    </row>
    <row r="46" customFormat="false" ht="15" hidden="false" customHeight="false" outlineLevel="0" collapsed="false">
      <c r="A46" s="20" t="s">
        <v>288</v>
      </c>
      <c r="B46" s="20"/>
      <c r="C46" s="20"/>
      <c r="D46" s="20"/>
      <c r="E46" s="20"/>
      <c r="F46" s="20"/>
      <c r="G46" s="20"/>
    </row>
    <row r="47" customFormat="false" ht="61.5" hidden="false" customHeight="true" outlineLevel="0" collapsed="false">
      <c r="A47" s="21" t="s">
        <v>289</v>
      </c>
      <c r="B47" s="21"/>
      <c r="C47" s="21"/>
      <c r="D47" s="21"/>
      <c r="E47" s="21"/>
      <c r="F47" s="21"/>
      <c r="G47" s="21"/>
    </row>
    <row r="49" customFormat="false" ht="15" hidden="false" customHeight="false" outlineLevel="0" collapsed="false">
      <c r="A49" s="17" t="s">
        <v>290</v>
      </c>
    </row>
    <row r="50" customFormat="false" ht="30" hidden="false" customHeight="true" outlineLevel="0" collapsed="false">
      <c r="A50" s="22" t="s">
        <v>291</v>
      </c>
      <c r="B50" s="22"/>
      <c r="C50" s="22"/>
      <c r="D50" s="22"/>
      <c r="E50" s="22"/>
      <c r="F50" s="22"/>
      <c r="G50" s="22"/>
    </row>
    <row r="51" customFormat="false" ht="30" hidden="false" customHeight="true" outlineLevel="0" collapsed="false">
      <c r="A51" s="22" t="s">
        <v>292</v>
      </c>
      <c r="B51" s="22"/>
      <c r="C51" s="22"/>
      <c r="D51" s="22"/>
      <c r="E51" s="22"/>
      <c r="F51" s="22"/>
      <c r="G51" s="22"/>
    </row>
    <row r="52" customFormat="false" ht="30" hidden="false" customHeight="true" outlineLevel="0" collapsed="false">
      <c r="A52" s="22" t="s">
        <v>293</v>
      </c>
      <c r="B52" s="22"/>
      <c r="C52" s="22"/>
      <c r="D52" s="22"/>
      <c r="E52" s="22"/>
      <c r="F52" s="22"/>
      <c r="G52" s="22"/>
    </row>
    <row r="53" customFormat="false" ht="30" hidden="false" customHeight="true" outlineLevel="0" collapsed="false">
      <c r="A53" s="22" t="s">
        <v>294</v>
      </c>
      <c r="B53" s="22"/>
      <c r="C53" s="22"/>
      <c r="D53" s="22"/>
      <c r="E53" s="22"/>
      <c r="F53" s="22"/>
      <c r="G53" s="22"/>
    </row>
    <row r="54" customFormat="false" ht="30" hidden="false" customHeight="true" outlineLevel="0" collapsed="false">
      <c r="A54" s="22" t="s">
        <v>295</v>
      </c>
      <c r="B54" s="22"/>
      <c r="C54" s="22"/>
      <c r="D54" s="22"/>
      <c r="E54" s="22"/>
      <c r="F54" s="22"/>
      <c r="G54" s="22"/>
    </row>
  </sheetData>
  <mergeCells count="25">
    <mergeCell ref="B4:G4"/>
    <mergeCell ref="B5:G5"/>
    <mergeCell ref="B6:G6"/>
    <mergeCell ref="B7:G7"/>
    <mergeCell ref="B8:G8"/>
    <mergeCell ref="B9:G9"/>
    <mergeCell ref="B10:G10"/>
    <mergeCell ref="A11:G11"/>
    <mergeCell ref="A36:G36"/>
    <mergeCell ref="A37:G37"/>
    <mergeCell ref="A38:G38"/>
    <mergeCell ref="A39:G39"/>
    <mergeCell ref="A40:G40"/>
    <mergeCell ref="A41:G41"/>
    <mergeCell ref="A42:G42"/>
    <mergeCell ref="A43:G43"/>
    <mergeCell ref="A44:G44"/>
    <mergeCell ref="A45:G45"/>
    <mergeCell ref="A46:G46"/>
    <mergeCell ref="A47:G47"/>
    <mergeCell ref="A50:G50"/>
    <mergeCell ref="A51:G51"/>
    <mergeCell ref="A52:G52"/>
    <mergeCell ref="A53:G53"/>
    <mergeCell ref="A54:G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2026-10-04T19:06:54Z</dcterms:created>
  <dc:creator>openpyxl</dc:creator>
  <dc:description/>
  <dc:language>en-US</dc:language>
  <cp:lastModifiedBy/>
  <dcterms:modified xsi:type="dcterms:W3CDTF">2026-10-04T19:06:54Z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